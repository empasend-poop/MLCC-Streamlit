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81947EC-E19F-49AC-B1CB-1481BD3C689E}" xr6:coauthVersionLast="47" xr6:coauthVersionMax="47" xr10:uidLastSave="{00000000-0000-0000-0000-000000000000}"/>
  <bookViews>
    <workbookView xWindow="-120" yWindow="-120" windowWidth="29040" windowHeight="15720" xr2:uid="{DD21264B-7F4D-4808-A1EE-9D5B44D53BA3}"/>
  </bookViews>
  <sheets>
    <sheet name="BD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4" l="1"/>
  <c r="P13" i="4"/>
  <c r="S13" i="4" s="1"/>
  <c r="O13" i="4"/>
  <c r="R13" i="4" s="1"/>
  <c r="N13" i="4"/>
  <c r="T13" i="4" s="1"/>
  <c r="M13" i="4"/>
  <c r="T16" i="4"/>
  <c r="Q24" i="4"/>
  <c r="S23" i="4"/>
  <c r="R23" i="4"/>
  <c r="S16" i="4"/>
  <c r="R16" i="4"/>
  <c r="Q16" i="4"/>
  <c r="R11" i="4"/>
  <c r="Q11" i="4"/>
  <c r="R10" i="4"/>
  <c r="S7" i="4"/>
  <c r="R7" i="4"/>
  <c r="Q7" i="4"/>
  <c r="S6" i="4"/>
  <c r="R6" i="4"/>
  <c r="P24" i="4"/>
  <c r="S24" i="4" s="1"/>
  <c r="O24" i="4"/>
  <c r="R24" i="4" s="1"/>
  <c r="N24" i="4"/>
  <c r="T24" i="4" s="1"/>
  <c r="P23" i="4"/>
  <c r="O23" i="4"/>
  <c r="N23" i="4"/>
  <c r="T23" i="4" s="1"/>
  <c r="P22" i="4"/>
  <c r="S22" i="4" s="1"/>
  <c r="O22" i="4"/>
  <c r="R22" i="4" s="1"/>
  <c r="N22" i="4"/>
  <c r="T22" i="4" s="1"/>
  <c r="P21" i="4"/>
  <c r="S21" i="4" s="1"/>
  <c r="O21" i="4"/>
  <c r="R21" i="4" s="1"/>
  <c r="N21" i="4"/>
  <c r="Q21" i="4" s="1"/>
  <c r="P20" i="4"/>
  <c r="S20" i="4" s="1"/>
  <c r="O20" i="4"/>
  <c r="R20" i="4" s="1"/>
  <c r="N20" i="4"/>
  <c r="T20" i="4" s="1"/>
  <c r="P19" i="4"/>
  <c r="S19" i="4" s="1"/>
  <c r="O19" i="4"/>
  <c r="R19" i="4" s="1"/>
  <c r="N19" i="4"/>
  <c r="Q19" i="4" s="1"/>
  <c r="P18" i="4"/>
  <c r="S18" i="4" s="1"/>
  <c r="O18" i="4"/>
  <c r="R18" i="4" s="1"/>
  <c r="N18" i="4"/>
  <c r="Q18" i="4" s="1"/>
  <c r="P17" i="4"/>
  <c r="S17" i="4" s="1"/>
  <c r="O17" i="4"/>
  <c r="R17" i="4" s="1"/>
  <c r="N17" i="4"/>
  <c r="T17" i="4" s="1"/>
  <c r="P16" i="4"/>
  <c r="O16" i="4"/>
  <c r="N16" i="4"/>
  <c r="P15" i="4"/>
  <c r="S15" i="4" s="1"/>
  <c r="O15" i="4"/>
  <c r="R15" i="4" s="1"/>
  <c r="N15" i="4"/>
  <c r="Q15" i="4" s="1"/>
  <c r="P14" i="4"/>
  <c r="S14" i="4" s="1"/>
  <c r="O14" i="4"/>
  <c r="R14" i="4" s="1"/>
  <c r="N14" i="4"/>
  <c r="Q14" i="4" s="1"/>
  <c r="P12" i="4"/>
  <c r="S12" i="4" s="1"/>
  <c r="O12" i="4"/>
  <c r="R12" i="4" s="1"/>
  <c r="N12" i="4"/>
  <c r="T12" i="4" s="1"/>
  <c r="P11" i="4"/>
  <c r="S11" i="4" s="1"/>
  <c r="O11" i="4"/>
  <c r="N11" i="4"/>
  <c r="T11" i="4" s="1"/>
  <c r="P10" i="4"/>
  <c r="S10" i="4" s="1"/>
  <c r="O10" i="4"/>
  <c r="Q10" i="4"/>
  <c r="P9" i="4"/>
  <c r="S9" i="4" s="1"/>
  <c r="O9" i="4"/>
  <c r="R9" i="4" s="1"/>
  <c r="N9" i="4"/>
  <c r="T9" i="4" s="1"/>
  <c r="P8" i="4"/>
  <c r="S8" i="4" s="1"/>
  <c r="O8" i="4"/>
  <c r="R8" i="4" s="1"/>
  <c r="N8" i="4"/>
  <c r="Q8" i="4" s="1"/>
  <c r="P7" i="4"/>
  <c r="O7" i="4"/>
  <c r="N7" i="4"/>
  <c r="T7" i="4" s="1"/>
  <c r="P6" i="4"/>
  <c r="O6" i="4"/>
  <c r="N6" i="4"/>
  <c r="T6" i="4" s="1"/>
  <c r="M24" i="4"/>
  <c r="M23" i="4"/>
  <c r="M22" i="4"/>
  <c r="M21" i="4"/>
  <c r="M20" i="4"/>
  <c r="M19" i="4"/>
  <c r="M18" i="4"/>
  <c r="M17" i="4"/>
  <c r="M16" i="4"/>
  <c r="M15" i="4"/>
  <c r="M14" i="4"/>
  <c r="M12" i="4"/>
  <c r="M11" i="4"/>
  <c r="M10" i="4"/>
  <c r="M9" i="4"/>
  <c r="M8" i="4"/>
  <c r="M7" i="4"/>
  <c r="M6" i="4"/>
  <c r="T21" i="4" l="1"/>
  <c r="Q20" i="4"/>
  <c r="Q13" i="4"/>
  <c r="Q17" i="4"/>
  <c r="T14" i="4"/>
  <c r="T15" i="4"/>
  <c r="T8" i="4"/>
  <c r="T18" i="4"/>
  <c r="Q12" i="4"/>
  <c r="T19" i="4"/>
  <c r="T10" i="4"/>
  <c r="Q6" i="4"/>
  <c r="Q23" i="4"/>
  <c r="Q9" i="4"/>
  <c r="Q22" i="4"/>
</calcChain>
</file>

<file path=xl/sharedStrings.xml><?xml version="1.0" encoding="utf-8"?>
<sst xmlns="http://schemas.openxmlformats.org/spreadsheetml/2006/main" count="142" uniqueCount="57">
  <si>
    <t>부품사</t>
    <phoneticPr fontId="1" type="noConversion"/>
  </si>
  <si>
    <t>자재코드</t>
    <phoneticPr fontId="1" type="noConversion"/>
  </si>
  <si>
    <t>2203-008953</t>
    <phoneticPr fontId="1" type="noConversion"/>
  </si>
  <si>
    <t>2203-007317</t>
    <phoneticPr fontId="1" type="noConversion"/>
  </si>
  <si>
    <t>2203-010255</t>
    <phoneticPr fontId="1" type="noConversion"/>
  </si>
  <si>
    <t>부품사코드</t>
    <phoneticPr fontId="1" type="noConversion"/>
  </si>
  <si>
    <t>Grade</t>
    <phoneticPr fontId="1" type="noConversion"/>
  </si>
  <si>
    <t>정격전압(V)</t>
    <phoneticPr fontId="1" type="noConversion"/>
  </si>
  <si>
    <t>정격용량(uF)</t>
    <phoneticPr fontId="1" type="noConversion"/>
  </si>
  <si>
    <t>Size</t>
    <phoneticPr fontId="1" type="noConversion"/>
  </si>
  <si>
    <t>X5R</t>
    <phoneticPr fontId="1" type="noConversion"/>
  </si>
  <si>
    <t>X6S</t>
    <phoneticPr fontId="1" type="noConversion"/>
  </si>
  <si>
    <t>업데이트일자</t>
    <phoneticPr fontId="1" type="noConversion"/>
  </si>
  <si>
    <t>MLCC 및 평가정보</t>
    <phoneticPr fontId="1" type="noConversion"/>
  </si>
  <si>
    <t>2026.06.04</t>
    <phoneticPr fontId="1" type="noConversion"/>
  </si>
  <si>
    <t>2026.08.11</t>
    <phoneticPr fontId="1" type="noConversion"/>
  </si>
  <si>
    <t>BDV평가수량</t>
    <phoneticPr fontId="1" type="noConversion"/>
  </si>
  <si>
    <t>BDV평가온도</t>
    <phoneticPr fontId="1" type="noConversion"/>
  </si>
  <si>
    <t>BDV 결과 (Typ.)</t>
    <phoneticPr fontId="1" type="noConversion"/>
  </si>
  <si>
    <t>정격대비수준</t>
    <phoneticPr fontId="1" type="noConversion"/>
  </si>
  <si>
    <t>Lower</t>
    <phoneticPr fontId="1" type="noConversion"/>
  </si>
  <si>
    <t>Typ.</t>
    <phoneticPr fontId="1" type="noConversion"/>
  </si>
  <si>
    <t>Upper</t>
    <phoneticPr fontId="1" type="noConversion"/>
  </si>
  <si>
    <t>BDV 평가결과</t>
    <phoneticPr fontId="1" type="noConversion"/>
  </si>
  <si>
    <t>Bx(0.0001)</t>
    <phoneticPr fontId="1" type="noConversion"/>
  </si>
  <si>
    <t>Bx(0.001)</t>
    <phoneticPr fontId="1" type="noConversion"/>
  </si>
  <si>
    <t>정격/1ppm 하한값</t>
    <phoneticPr fontId="1" type="noConversion"/>
  </si>
  <si>
    <t>Outlier 제거여부</t>
    <phoneticPr fontId="1" type="noConversion"/>
  </si>
  <si>
    <t>2203-003281</t>
    <phoneticPr fontId="1" type="noConversion"/>
  </si>
  <si>
    <t>2203-008087</t>
    <phoneticPr fontId="1" type="noConversion"/>
  </si>
  <si>
    <t>2203-000699</t>
    <phoneticPr fontId="1" type="noConversion"/>
  </si>
  <si>
    <t>2203-010667</t>
    <phoneticPr fontId="1" type="noConversion"/>
  </si>
  <si>
    <t>A1</t>
    <phoneticPr fontId="1" type="noConversion"/>
  </si>
  <si>
    <t>B1</t>
    <phoneticPr fontId="1" type="noConversion"/>
  </si>
  <si>
    <t>C1</t>
    <phoneticPr fontId="1" type="noConversion"/>
  </si>
  <si>
    <t>D2</t>
    <phoneticPr fontId="1" type="noConversion"/>
  </si>
  <si>
    <t>E2</t>
    <phoneticPr fontId="1" type="noConversion"/>
  </si>
  <si>
    <t>F2</t>
    <phoneticPr fontId="1" type="noConversion"/>
  </si>
  <si>
    <t>G5</t>
    <phoneticPr fontId="1" type="noConversion"/>
  </si>
  <si>
    <t>H5</t>
    <phoneticPr fontId="1" type="noConversion"/>
  </si>
  <si>
    <t>I4</t>
    <phoneticPr fontId="1" type="noConversion"/>
  </si>
  <si>
    <t>G4</t>
    <phoneticPr fontId="1" type="noConversion"/>
  </si>
  <si>
    <t>F5</t>
    <phoneticPr fontId="1" type="noConversion"/>
  </si>
  <si>
    <t>D5</t>
    <phoneticPr fontId="1" type="noConversion"/>
  </si>
  <si>
    <t>E5</t>
    <phoneticPr fontId="1" type="noConversion"/>
  </si>
  <si>
    <t>C4</t>
    <phoneticPr fontId="1" type="noConversion"/>
  </si>
  <si>
    <t>B8</t>
    <phoneticPr fontId="1" type="noConversion"/>
  </si>
  <si>
    <t>A8</t>
    <phoneticPr fontId="1" type="noConversion"/>
  </si>
  <si>
    <t>Y</t>
    <phoneticPr fontId="1" type="noConversion"/>
  </si>
  <si>
    <t>N</t>
    <phoneticPr fontId="1" type="noConversion"/>
  </si>
  <si>
    <t>BDV 1ppm전압</t>
    <phoneticPr fontId="1" type="noConversion"/>
  </si>
  <si>
    <t>BDV 10ppm전압</t>
    <phoneticPr fontId="1" type="noConversion"/>
  </si>
  <si>
    <t xml:space="preserve">BDV dashboard 요구사항
1. 부품사 -&gt; 자재코드 순으로 선택 가능하게끔 
2. 1번 선택 이후 excel에 있는 데이터를 깔끔하게 정보표현
3. BDV 1ppm 전압과 정격전압과의 비교 (비율) 추가 (정격/1PPM 하한값 등)
4. 부품사 간 동일한 자재코드 BDV 비교 그래프 추가 </t>
    <phoneticPr fontId="1" type="noConversion"/>
  </si>
  <si>
    <t>Supplier A</t>
    <phoneticPr fontId="1" type="noConversion"/>
  </si>
  <si>
    <t>Supplier B</t>
    <phoneticPr fontId="1" type="noConversion"/>
  </si>
  <si>
    <t>Supplier C</t>
    <phoneticPr fontId="1" type="noConversion"/>
  </si>
  <si>
    <t>77*3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</si>
</sst>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D64F2-F80B-47A0-9DE8-DDAE625DD8B9}">
  <dimension ref="B2:U24"/>
  <sheetViews>
    <sheetView showGridLines="0" tabSelected="1" workbookViewId="0">
      <selection activeCell="J19" sqref="J19"/>
    </sheetView>
  </sheetViews>
  <sheetFormatPr defaultRowHeight="16.5" x14ac:dyDescent="0.3"/>
  <cols>
    <col min="1" max="1" width="4.375" style="1" customWidth="1"/>
    <col min="2" max="2" width="13" style="1" bestFit="1" customWidth="1"/>
    <col min="3" max="3" width="11.875" style="1" customWidth="1"/>
    <col min="4" max="4" width="13.125" style="1" bestFit="1" customWidth="1"/>
    <col min="5" max="9" width="11.875" style="1" customWidth="1"/>
    <col min="10" max="10" width="13.875" style="1" customWidth="1"/>
    <col min="11" max="11" width="11.875" style="1" customWidth="1"/>
    <col min="12" max="12" width="15.375" style="1" bestFit="1" customWidth="1"/>
    <col min="13" max="13" width="15.5" style="1" bestFit="1" customWidth="1"/>
    <col min="14" max="19" width="9" style="1" customWidth="1"/>
    <col min="20" max="20" width="17.875" style="1" bestFit="1" customWidth="1"/>
    <col min="21" max="21" width="16.125" style="1" bestFit="1" customWidth="1"/>
    <col min="22" max="16384" width="9" style="1"/>
  </cols>
  <sheetData>
    <row r="2" spans="2:21" ht="129" customHeight="1" x14ac:dyDescent="0.3">
      <c r="B2" s="12" t="s">
        <v>52</v>
      </c>
      <c r="C2" s="12"/>
      <c r="D2" s="12"/>
      <c r="E2" s="12"/>
      <c r="F2" s="12"/>
      <c r="G2" s="12"/>
      <c r="H2" s="12"/>
      <c r="I2" s="12"/>
      <c r="J2" s="12"/>
      <c r="K2" s="12"/>
    </row>
    <row r="3" spans="2:21" x14ac:dyDescent="0.3">
      <c r="N3" s="13" t="s">
        <v>50</v>
      </c>
      <c r="O3" s="13"/>
      <c r="P3" s="13"/>
      <c r="Q3" s="13" t="s">
        <v>51</v>
      </c>
      <c r="R3" s="13"/>
      <c r="S3" s="13"/>
    </row>
    <row r="4" spans="2:21" x14ac:dyDescent="0.3">
      <c r="B4" s="11" t="s">
        <v>13</v>
      </c>
      <c r="C4" s="11"/>
      <c r="D4" s="11"/>
      <c r="E4" s="11"/>
      <c r="F4" s="11"/>
      <c r="G4" s="11"/>
      <c r="H4" s="11"/>
      <c r="I4" s="11"/>
      <c r="J4" s="11"/>
      <c r="K4" s="11"/>
      <c r="L4" s="9" t="s">
        <v>23</v>
      </c>
      <c r="M4" s="10"/>
      <c r="N4" s="11" t="s">
        <v>24</v>
      </c>
      <c r="O4" s="11"/>
      <c r="P4" s="11"/>
      <c r="Q4" s="11" t="s">
        <v>25</v>
      </c>
      <c r="R4" s="11"/>
      <c r="S4" s="11"/>
      <c r="T4" s="14" t="s">
        <v>26</v>
      </c>
      <c r="U4" s="14" t="s">
        <v>27</v>
      </c>
    </row>
    <row r="5" spans="2:21" x14ac:dyDescent="0.3">
      <c r="B5" s="4" t="s">
        <v>12</v>
      </c>
      <c r="C5" s="4" t="s">
        <v>0</v>
      </c>
      <c r="D5" s="4" t="s">
        <v>1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16</v>
      </c>
      <c r="K5" s="4" t="s">
        <v>17</v>
      </c>
      <c r="L5" s="4" t="s">
        <v>18</v>
      </c>
      <c r="M5" s="4" t="s">
        <v>19</v>
      </c>
      <c r="N5" s="4" t="s">
        <v>20</v>
      </c>
      <c r="O5" s="3" t="s">
        <v>21</v>
      </c>
      <c r="P5" s="4" t="s">
        <v>22</v>
      </c>
      <c r="Q5" s="4" t="s">
        <v>20</v>
      </c>
      <c r="R5" s="3" t="s">
        <v>21</v>
      </c>
      <c r="S5" s="4" t="s">
        <v>22</v>
      </c>
      <c r="T5" s="15"/>
      <c r="U5" s="15"/>
    </row>
    <row r="6" spans="2:21" s="8" customFormat="1" x14ac:dyDescent="0.3">
      <c r="B6" s="6" t="s">
        <v>14</v>
      </c>
      <c r="C6" s="6" t="s">
        <v>53</v>
      </c>
      <c r="D6" s="6" t="s">
        <v>3</v>
      </c>
      <c r="E6" s="6" t="s">
        <v>47</v>
      </c>
      <c r="F6" s="6" t="s">
        <v>10</v>
      </c>
      <c r="G6" s="6">
        <v>6.3</v>
      </c>
      <c r="H6" s="6">
        <v>47</v>
      </c>
      <c r="I6" s="6">
        <v>1005</v>
      </c>
      <c r="J6" s="6">
        <v>231</v>
      </c>
      <c r="K6" s="6">
        <v>85</v>
      </c>
      <c r="L6" s="7">
        <v>546</v>
      </c>
      <c r="M6" s="7">
        <f>L6/G6</f>
        <v>86.666666666666671</v>
      </c>
      <c r="N6" s="7">
        <f>L6/0.2</f>
        <v>2730</v>
      </c>
      <c r="O6" s="7">
        <f>L6/0.5</f>
        <v>1092</v>
      </c>
      <c r="P6" s="7">
        <f>L6/0.66</f>
        <v>827.27272727272725</v>
      </c>
      <c r="Q6" s="7">
        <f>N6*0.77</f>
        <v>2102.1</v>
      </c>
      <c r="R6" s="7">
        <f t="shared" ref="R6:S6" si="0">O6*0.77</f>
        <v>840.84</v>
      </c>
      <c r="S6" s="7">
        <f t="shared" si="0"/>
        <v>637</v>
      </c>
      <c r="T6" s="7">
        <f>N6/G6</f>
        <v>433.33333333333337</v>
      </c>
      <c r="U6" s="6" t="s">
        <v>48</v>
      </c>
    </row>
    <row r="7" spans="2:21" s="8" customFormat="1" x14ac:dyDescent="0.3">
      <c r="B7" s="6" t="s">
        <v>14</v>
      </c>
      <c r="C7" s="6" t="s">
        <v>53</v>
      </c>
      <c r="D7" s="6" t="s">
        <v>2</v>
      </c>
      <c r="E7" s="6" t="s">
        <v>46</v>
      </c>
      <c r="F7" s="6" t="s">
        <v>10</v>
      </c>
      <c r="G7" s="6">
        <v>4</v>
      </c>
      <c r="H7" s="6">
        <v>4.7</v>
      </c>
      <c r="I7" s="6">
        <v>1608</v>
      </c>
      <c r="J7" s="6">
        <v>231</v>
      </c>
      <c r="K7" s="6">
        <v>85</v>
      </c>
      <c r="L7" s="7">
        <v>54</v>
      </c>
      <c r="M7" s="7">
        <f t="shared" ref="M7:M24" si="1">L7/G7</f>
        <v>13.5</v>
      </c>
      <c r="N7" s="7">
        <f t="shared" ref="N7:N24" si="2">L7/0.2</f>
        <v>270</v>
      </c>
      <c r="O7" s="7">
        <f t="shared" ref="O7:O24" si="3">L7/0.5</f>
        <v>108</v>
      </c>
      <c r="P7" s="7">
        <f t="shared" ref="P7:P24" si="4">L7/0.66</f>
        <v>81.818181818181813</v>
      </c>
      <c r="Q7" s="7">
        <f t="shared" ref="Q7:Q24" si="5">N7*0.77</f>
        <v>207.9</v>
      </c>
      <c r="R7" s="7">
        <f t="shared" ref="R7:R24" si="6">O7*0.77</f>
        <v>83.16</v>
      </c>
      <c r="S7" s="7">
        <f t="shared" ref="S7:S24" si="7">P7*0.77</f>
        <v>63</v>
      </c>
      <c r="T7" s="7">
        <f t="shared" ref="T7:T24" si="8">N7/G7</f>
        <v>67.5</v>
      </c>
      <c r="U7" s="6" t="s">
        <v>48</v>
      </c>
    </row>
    <row r="8" spans="2:21" s="8" customFormat="1" x14ac:dyDescent="0.3">
      <c r="B8" s="6" t="s">
        <v>14</v>
      </c>
      <c r="C8" s="6" t="s">
        <v>53</v>
      </c>
      <c r="D8" s="6" t="s">
        <v>4</v>
      </c>
      <c r="E8" s="6" t="s">
        <v>45</v>
      </c>
      <c r="F8" s="6" t="s">
        <v>11</v>
      </c>
      <c r="G8" s="6">
        <v>10</v>
      </c>
      <c r="H8" s="6">
        <v>10</v>
      </c>
      <c r="I8" s="6">
        <v>1608</v>
      </c>
      <c r="J8" s="6">
        <v>231</v>
      </c>
      <c r="K8" s="6">
        <v>85</v>
      </c>
      <c r="L8" s="7">
        <v>251</v>
      </c>
      <c r="M8" s="7">
        <f t="shared" si="1"/>
        <v>25.1</v>
      </c>
      <c r="N8" s="7">
        <f t="shared" si="2"/>
        <v>1255</v>
      </c>
      <c r="O8" s="7">
        <f t="shared" si="3"/>
        <v>502</v>
      </c>
      <c r="P8" s="7">
        <f t="shared" si="4"/>
        <v>380.30303030303031</v>
      </c>
      <c r="Q8" s="7">
        <f t="shared" si="5"/>
        <v>966.35</v>
      </c>
      <c r="R8" s="7">
        <f t="shared" si="6"/>
        <v>386.54</v>
      </c>
      <c r="S8" s="7">
        <f t="shared" si="7"/>
        <v>292.83333333333337</v>
      </c>
      <c r="T8" s="7">
        <f t="shared" si="8"/>
        <v>125.5</v>
      </c>
      <c r="U8" s="6" t="s">
        <v>48</v>
      </c>
    </row>
    <row r="9" spans="2:21" s="8" customFormat="1" x14ac:dyDescent="0.3">
      <c r="B9" s="6" t="s">
        <v>14</v>
      </c>
      <c r="C9" s="6" t="s">
        <v>54</v>
      </c>
      <c r="D9" s="6" t="s">
        <v>3</v>
      </c>
      <c r="E9" s="6" t="s">
        <v>43</v>
      </c>
      <c r="F9" s="6" t="s">
        <v>10</v>
      </c>
      <c r="G9" s="6">
        <v>6.3</v>
      </c>
      <c r="H9" s="6">
        <v>47</v>
      </c>
      <c r="I9" s="6">
        <v>1005</v>
      </c>
      <c r="J9" s="6">
        <v>231</v>
      </c>
      <c r="K9" s="6">
        <v>85</v>
      </c>
      <c r="L9" s="7">
        <v>555</v>
      </c>
      <c r="M9" s="7">
        <f t="shared" si="1"/>
        <v>88.095238095238102</v>
      </c>
      <c r="N9" s="7">
        <f t="shared" si="2"/>
        <v>2775</v>
      </c>
      <c r="O9" s="7">
        <f t="shared" si="3"/>
        <v>1110</v>
      </c>
      <c r="P9" s="7">
        <f t="shared" si="4"/>
        <v>840.90909090909088</v>
      </c>
      <c r="Q9" s="7">
        <f t="shared" si="5"/>
        <v>2136.75</v>
      </c>
      <c r="R9" s="7">
        <f t="shared" si="6"/>
        <v>854.7</v>
      </c>
      <c r="S9" s="7">
        <f t="shared" si="7"/>
        <v>647.5</v>
      </c>
      <c r="T9" s="7">
        <f t="shared" si="8"/>
        <v>440.47619047619048</v>
      </c>
      <c r="U9" s="6" t="s">
        <v>48</v>
      </c>
    </row>
    <row r="10" spans="2:21" s="8" customFormat="1" x14ac:dyDescent="0.3">
      <c r="B10" s="6" t="s">
        <v>14</v>
      </c>
      <c r="C10" s="6" t="s">
        <v>54</v>
      </c>
      <c r="D10" s="6" t="s">
        <v>2</v>
      </c>
      <c r="E10" s="6" t="s">
        <v>44</v>
      </c>
      <c r="F10" s="6" t="s">
        <v>10</v>
      </c>
      <c r="G10" s="6">
        <v>4</v>
      </c>
      <c r="H10" s="6">
        <v>4.7</v>
      </c>
      <c r="I10" s="6">
        <v>1608</v>
      </c>
      <c r="J10" s="6">
        <v>231</v>
      </c>
      <c r="K10" s="6">
        <v>85</v>
      </c>
      <c r="L10" s="7">
        <v>52</v>
      </c>
      <c r="M10" s="7">
        <f t="shared" si="1"/>
        <v>13</v>
      </c>
      <c r="N10" s="7">
        <f>L10/0.2</f>
        <v>260</v>
      </c>
      <c r="O10" s="7">
        <f t="shared" si="3"/>
        <v>104</v>
      </c>
      <c r="P10" s="7">
        <f t="shared" si="4"/>
        <v>78.787878787878782</v>
      </c>
      <c r="Q10" s="7">
        <f t="shared" si="5"/>
        <v>200.20000000000002</v>
      </c>
      <c r="R10" s="7">
        <f t="shared" si="6"/>
        <v>80.08</v>
      </c>
      <c r="S10" s="7">
        <f t="shared" si="7"/>
        <v>60.666666666666664</v>
      </c>
      <c r="T10" s="7">
        <f t="shared" si="8"/>
        <v>65</v>
      </c>
      <c r="U10" s="6" t="s">
        <v>48</v>
      </c>
    </row>
    <row r="11" spans="2:21" s="8" customFormat="1" x14ac:dyDescent="0.3">
      <c r="B11" s="6" t="s">
        <v>14</v>
      </c>
      <c r="C11" s="6" t="s">
        <v>54</v>
      </c>
      <c r="D11" s="6" t="s">
        <v>4</v>
      </c>
      <c r="E11" s="6" t="s">
        <v>42</v>
      </c>
      <c r="F11" s="6" t="s">
        <v>11</v>
      </c>
      <c r="G11" s="6">
        <v>10</v>
      </c>
      <c r="H11" s="6">
        <v>10</v>
      </c>
      <c r="I11" s="6">
        <v>1608</v>
      </c>
      <c r="J11" s="6">
        <v>231</v>
      </c>
      <c r="K11" s="6">
        <v>85</v>
      </c>
      <c r="L11" s="7">
        <v>218</v>
      </c>
      <c r="M11" s="7">
        <f t="shared" si="1"/>
        <v>21.8</v>
      </c>
      <c r="N11" s="7">
        <f t="shared" si="2"/>
        <v>1090</v>
      </c>
      <c r="O11" s="7">
        <f t="shared" si="3"/>
        <v>436</v>
      </c>
      <c r="P11" s="7">
        <f t="shared" si="4"/>
        <v>330.30303030303031</v>
      </c>
      <c r="Q11" s="7">
        <f t="shared" si="5"/>
        <v>839.30000000000007</v>
      </c>
      <c r="R11" s="7">
        <f t="shared" si="6"/>
        <v>335.72</v>
      </c>
      <c r="S11" s="7">
        <f t="shared" si="7"/>
        <v>254.33333333333334</v>
      </c>
      <c r="T11" s="7">
        <f t="shared" si="8"/>
        <v>109</v>
      </c>
      <c r="U11" s="6" t="s">
        <v>48</v>
      </c>
    </row>
    <row r="12" spans="2:21" s="8" customFormat="1" x14ac:dyDescent="0.3">
      <c r="B12" s="6" t="s">
        <v>14</v>
      </c>
      <c r="C12" s="6" t="s">
        <v>55</v>
      </c>
      <c r="D12" s="6" t="s">
        <v>3</v>
      </c>
      <c r="E12" s="6" t="s">
        <v>41</v>
      </c>
      <c r="F12" s="6" t="s">
        <v>10</v>
      </c>
      <c r="G12" s="6">
        <v>6.3</v>
      </c>
      <c r="H12" s="6">
        <v>47</v>
      </c>
      <c r="I12" s="6">
        <v>1005</v>
      </c>
      <c r="J12" s="6">
        <v>231</v>
      </c>
      <c r="K12" s="6">
        <v>85</v>
      </c>
      <c r="L12" s="7">
        <v>431</v>
      </c>
      <c r="M12" s="7">
        <f t="shared" si="1"/>
        <v>68.412698412698418</v>
      </c>
      <c r="N12" s="7">
        <f t="shared" si="2"/>
        <v>2155</v>
      </c>
      <c r="O12" s="7">
        <f t="shared" si="3"/>
        <v>862</v>
      </c>
      <c r="P12" s="7">
        <f t="shared" si="4"/>
        <v>653.030303030303</v>
      </c>
      <c r="Q12" s="7">
        <f t="shared" si="5"/>
        <v>1659.3500000000001</v>
      </c>
      <c r="R12" s="7">
        <f t="shared" si="6"/>
        <v>663.74</v>
      </c>
      <c r="S12" s="7">
        <f t="shared" si="7"/>
        <v>502.83333333333331</v>
      </c>
      <c r="T12" s="7">
        <f t="shared" si="8"/>
        <v>342.06349206349205</v>
      </c>
      <c r="U12" s="6" t="s">
        <v>48</v>
      </c>
    </row>
    <row r="13" spans="2:21" s="8" customFormat="1" x14ac:dyDescent="0.3">
      <c r="B13" s="6" t="s">
        <v>14</v>
      </c>
      <c r="C13" s="6" t="s">
        <v>55</v>
      </c>
      <c r="D13" s="6" t="s">
        <v>2</v>
      </c>
      <c r="E13" s="6" t="s">
        <v>46</v>
      </c>
      <c r="F13" s="6" t="s">
        <v>10</v>
      </c>
      <c r="G13" s="6">
        <v>4</v>
      </c>
      <c r="H13" s="6">
        <v>4.7</v>
      </c>
      <c r="I13" s="6">
        <v>1608</v>
      </c>
      <c r="J13" s="6">
        <v>231</v>
      </c>
      <c r="K13" s="6">
        <v>85</v>
      </c>
      <c r="L13" s="7">
        <v>59</v>
      </c>
      <c r="M13" s="7">
        <f t="shared" ref="M13" si="9">L13/G13</f>
        <v>14.75</v>
      </c>
      <c r="N13" s="7">
        <f t="shared" ref="N13" si="10">L13/0.2</f>
        <v>295</v>
      </c>
      <c r="O13" s="7">
        <f t="shared" ref="O13" si="11">L13/0.5</f>
        <v>118</v>
      </c>
      <c r="P13" s="7">
        <f t="shared" ref="P13" si="12">L13/0.66</f>
        <v>89.393939393939391</v>
      </c>
      <c r="Q13" s="7">
        <f t="shared" ref="Q13" si="13">N13*0.77</f>
        <v>227.15</v>
      </c>
      <c r="R13" s="7">
        <f t="shared" ref="R13" si="14">O13*0.77</f>
        <v>90.86</v>
      </c>
      <c r="S13" s="7">
        <f t="shared" ref="S13" si="15">P13*0.77</f>
        <v>68.833333333333329</v>
      </c>
      <c r="T13" s="7">
        <f t="shared" ref="T13" si="16">N13/G13</f>
        <v>73.75</v>
      </c>
      <c r="U13" s="6" t="s">
        <v>48</v>
      </c>
    </row>
    <row r="14" spans="2:21" x14ac:dyDescent="0.3">
      <c r="B14" s="2" t="s">
        <v>14</v>
      </c>
      <c r="C14" s="6" t="s">
        <v>55</v>
      </c>
      <c r="D14" s="2" t="s">
        <v>28</v>
      </c>
      <c r="E14" s="2" t="s">
        <v>39</v>
      </c>
      <c r="F14" s="2" t="s">
        <v>10</v>
      </c>
      <c r="G14" s="2">
        <v>4</v>
      </c>
      <c r="H14" s="2">
        <v>4.7</v>
      </c>
      <c r="I14" s="2">
        <v>1608</v>
      </c>
      <c r="J14" s="2">
        <v>231</v>
      </c>
      <c r="K14" s="2">
        <v>85</v>
      </c>
      <c r="L14" s="5">
        <v>243</v>
      </c>
      <c r="M14" s="5">
        <f t="shared" si="1"/>
        <v>60.75</v>
      </c>
      <c r="N14" s="5">
        <f t="shared" si="2"/>
        <v>1215</v>
      </c>
      <c r="O14" s="5">
        <f t="shared" si="3"/>
        <v>486</v>
      </c>
      <c r="P14" s="5">
        <f t="shared" si="4"/>
        <v>368.18181818181819</v>
      </c>
      <c r="Q14" s="5">
        <f t="shared" si="5"/>
        <v>935.55000000000007</v>
      </c>
      <c r="R14" s="5">
        <f t="shared" si="6"/>
        <v>374.22</v>
      </c>
      <c r="S14" s="5">
        <f t="shared" si="7"/>
        <v>283.5</v>
      </c>
      <c r="T14" s="5">
        <f t="shared" si="8"/>
        <v>303.75</v>
      </c>
      <c r="U14" s="2" t="s">
        <v>48</v>
      </c>
    </row>
    <row r="15" spans="2:21" x14ac:dyDescent="0.3">
      <c r="B15" s="2" t="s">
        <v>14</v>
      </c>
      <c r="C15" s="6" t="s">
        <v>55</v>
      </c>
      <c r="D15" s="2" t="s">
        <v>4</v>
      </c>
      <c r="E15" s="2" t="s">
        <v>40</v>
      </c>
      <c r="F15" s="2" t="s">
        <v>11</v>
      </c>
      <c r="G15" s="2">
        <v>10</v>
      </c>
      <c r="H15" s="2">
        <v>10</v>
      </c>
      <c r="I15" s="2">
        <v>1608</v>
      </c>
      <c r="J15" s="2">
        <v>231</v>
      </c>
      <c r="K15" s="2">
        <v>85</v>
      </c>
      <c r="L15" s="5">
        <v>211</v>
      </c>
      <c r="M15" s="5">
        <f t="shared" si="1"/>
        <v>21.1</v>
      </c>
      <c r="N15" s="5">
        <f t="shared" si="2"/>
        <v>1055</v>
      </c>
      <c r="O15" s="5">
        <f t="shared" si="3"/>
        <v>422</v>
      </c>
      <c r="P15" s="5">
        <f t="shared" si="4"/>
        <v>319.69696969696969</v>
      </c>
      <c r="Q15" s="5">
        <f t="shared" si="5"/>
        <v>812.35</v>
      </c>
      <c r="R15" s="5">
        <f t="shared" si="6"/>
        <v>324.94</v>
      </c>
      <c r="S15" s="5">
        <f t="shared" si="7"/>
        <v>246.16666666666666</v>
      </c>
      <c r="T15" s="5">
        <f t="shared" si="8"/>
        <v>105.5</v>
      </c>
      <c r="U15" s="2" t="s">
        <v>48</v>
      </c>
    </row>
    <row r="16" spans="2:21" x14ac:dyDescent="0.3">
      <c r="B16" s="2" t="s">
        <v>14</v>
      </c>
      <c r="C16" s="6" t="s">
        <v>53</v>
      </c>
      <c r="D16" s="2" t="s">
        <v>29</v>
      </c>
      <c r="E16" s="2" t="s">
        <v>32</v>
      </c>
      <c r="F16" s="2" t="s">
        <v>10</v>
      </c>
      <c r="G16" s="2">
        <v>20</v>
      </c>
      <c r="H16" s="2">
        <v>47</v>
      </c>
      <c r="I16" s="2">
        <v>1005</v>
      </c>
      <c r="J16" s="2">
        <v>231</v>
      </c>
      <c r="K16" s="2">
        <v>85</v>
      </c>
      <c r="L16" s="5">
        <v>235</v>
      </c>
      <c r="M16" s="5">
        <f t="shared" si="1"/>
        <v>11.75</v>
      </c>
      <c r="N16" s="5">
        <f t="shared" si="2"/>
        <v>1175</v>
      </c>
      <c r="O16" s="5">
        <f t="shared" si="3"/>
        <v>470</v>
      </c>
      <c r="P16" s="5">
        <f t="shared" si="4"/>
        <v>356.06060606060606</v>
      </c>
      <c r="Q16" s="5">
        <f t="shared" si="5"/>
        <v>904.75</v>
      </c>
      <c r="R16" s="5">
        <f t="shared" si="6"/>
        <v>361.90000000000003</v>
      </c>
      <c r="S16" s="5">
        <f t="shared" si="7"/>
        <v>274.16666666666669</v>
      </c>
      <c r="T16" s="5">
        <f t="shared" si="8"/>
        <v>58.75</v>
      </c>
      <c r="U16" s="2" t="s">
        <v>48</v>
      </c>
    </row>
    <row r="17" spans="2:21" x14ac:dyDescent="0.3">
      <c r="B17" s="2" t="s">
        <v>14</v>
      </c>
      <c r="C17" s="6" t="s">
        <v>53</v>
      </c>
      <c r="D17" s="2" t="s">
        <v>30</v>
      </c>
      <c r="E17" s="2" t="s">
        <v>33</v>
      </c>
      <c r="F17" s="2" t="s">
        <v>10</v>
      </c>
      <c r="G17" s="2">
        <v>10</v>
      </c>
      <c r="H17" s="2">
        <v>4.7</v>
      </c>
      <c r="I17" s="2">
        <v>1608</v>
      </c>
      <c r="J17" s="2">
        <v>231</v>
      </c>
      <c r="K17" s="2">
        <v>85</v>
      </c>
      <c r="L17" s="5">
        <v>291</v>
      </c>
      <c r="M17" s="5">
        <f t="shared" si="1"/>
        <v>29.1</v>
      </c>
      <c r="N17" s="5">
        <f t="shared" si="2"/>
        <v>1455</v>
      </c>
      <c r="O17" s="5">
        <f t="shared" si="3"/>
        <v>582</v>
      </c>
      <c r="P17" s="5">
        <f t="shared" si="4"/>
        <v>440.90909090909088</v>
      </c>
      <c r="Q17" s="5">
        <f t="shared" si="5"/>
        <v>1120.3500000000001</v>
      </c>
      <c r="R17" s="5">
        <f t="shared" si="6"/>
        <v>448.14</v>
      </c>
      <c r="S17" s="5">
        <f t="shared" si="7"/>
        <v>339.5</v>
      </c>
      <c r="T17" s="5">
        <f t="shared" si="8"/>
        <v>145.5</v>
      </c>
      <c r="U17" s="2" t="s">
        <v>48</v>
      </c>
    </row>
    <row r="18" spans="2:21" x14ac:dyDescent="0.3">
      <c r="B18" s="2" t="s">
        <v>14</v>
      </c>
      <c r="C18" s="6" t="s">
        <v>53</v>
      </c>
      <c r="D18" s="2" t="s">
        <v>31</v>
      </c>
      <c r="E18" s="2" t="s">
        <v>34</v>
      </c>
      <c r="F18" s="2" t="s">
        <v>11</v>
      </c>
      <c r="G18" s="2">
        <v>5</v>
      </c>
      <c r="H18" s="2">
        <v>10</v>
      </c>
      <c r="I18" s="2">
        <v>1608</v>
      </c>
      <c r="J18" s="2">
        <v>231</v>
      </c>
      <c r="K18" s="2">
        <v>85</v>
      </c>
      <c r="L18" s="5">
        <v>255</v>
      </c>
      <c r="M18" s="5">
        <f t="shared" si="1"/>
        <v>51</v>
      </c>
      <c r="N18" s="5">
        <f t="shared" si="2"/>
        <v>1275</v>
      </c>
      <c r="O18" s="5">
        <f t="shared" si="3"/>
        <v>510</v>
      </c>
      <c r="P18" s="5">
        <f t="shared" si="4"/>
        <v>386.36363636363632</v>
      </c>
      <c r="Q18" s="5">
        <f t="shared" si="5"/>
        <v>981.75</v>
      </c>
      <c r="R18" s="5">
        <f t="shared" si="6"/>
        <v>392.7</v>
      </c>
      <c r="S18" s="5">
        <f t="shared" si="7"/>
        <v>297.49999999999994</v>
      </c>
      <c r="T18" s="5">
        <f t="shared" si="8"/>
        <v>255</v>
      </c>
      <c r="U18" s="2" t="s">
        <v>49</v>
      </c>
    </row>
    <row r="19" spans="2:21" x14ac:dyDescent="0.3">
      <c r="B19" s="2" t="s">
        <v>15</v>
      </c>
      <c r="C19" s="6" t="s">
        <v>54</v>
      </c>
      <c r="D19" s="2" t="s">
        <v>29</v>
      </c>
      <c r="E19" s="2" t="s">
        <v>35</v>
      </c>
      <c r="F19" s="2" t="s">
        <v>10</v>
      </c>
      <c r="G19" s="2">
        <v>20</v>
      </c>
      <c r="H19" s="2">
        <v>47</v>
      </c>
      <c r="I19" s="2">
        <v>1005</v>
      </c>
      <c r="J19" s="2" t="s">
        <v>56</v>
      </c>
      <c r="K19" s="2">
        <v>85</v>
      </c>
      <c r="L19" s="5">
        <v>192</v>
      </c>
      <c r="M19" s="5">
        <f t="shared" si="1"/>
        <v>9.6</v>
      </c>
      <c r="N19" s="5">
        <f t="shared" si="2"/>
        <v>960</v>
      </c>
      <c r="O19" s="5">
        <f t="shared" si="3"/>
        <v>384</v>
      </c>
      <c r="P19" s="5">
        <f t="shared" si="4"/>
        <v>290.90909090909088</v>
      </c>
      <c r="Q19" s="5">
        <f t="shared" si="5"/>
        <v>739.2</v>
      </c>
      <c r="R19" s="5">
        <f t="shared" si="6"/>
        <v>295.68</v>
      </c>
      <c r="S19" s="5">
        <f t="shared" si="7"/>
        <v>223.99999999999997</v>
      </c>
      <c r="T19" s="5">
        <f t="shared" si="8"/>
        <v>48</v>
      </c>
      <c r="U19" s="2" t="s">
        <v>49</v>
      </c>
    </row>
    <row r="20" spans="2:21" x14ac:dyDescent="0.3">
      <c r="B20" s="2" t="s">
        <v>15</v>
      </c>
      <c r="C20" s="6" t="s">
        <v>54</v>
      </c>
      <c r="D20" s="2" t="s">
        <v>30</v>
      </c>
      <c r="E20" s="2" t="s">
        <v>36</v>
      </c>
      <c r="F20" s="2" t="s">
        <v>10</v>
      </c>
      <c r="G20" s="2">
        <v>10</v>
      </c>
      <c r="H20" s="2">
        <v>4.7</v>
      </c>
      <c r="I20" s="2">
        <v>1608</v>
      </c>
      <c r="J20" s="2" t="s">
        <v>56</v>
      </c>
      <c r="K20" s="2">
        <v>85</v>
      </c>
      <c r="L20" s="5">
        <v>195</v>
      </c>
      <c r="M20" s="5">
        <f t="shared" si="1"/>
        <v>19.5</v>
      </c>
      <c r="N20" s="5">
        <f t="shared" si="2"/>
        <v>975</v>
      </c>
      <c r="O20" s="5">
        <f t="shared" si="3"/>
        <v>390</v>
      </c>
      <c r="P20" s="5">
        <f t="shared" si="4"/>
        <v>295.45454545454544</v>
      </c>
      <c r="Q20" s="5">
        <f t="shared" si="5"/>
        <v>750.75</v>
      </c>
      <c r="R20" s="5">
        <f t="shared" si="6"/>
        <v>300.3</v>
      </c>
      <c r="S20" s="5">
        <f t="shared" si="7"/>
        <v>227.5</v>
      </c>
      <c r="T20" s="5">
        <f t="shared" si="8"/>
        <v>97.5</v>
      </c>
      <c r="U20" s="2" t="s">
        <v>49</v>
      </c>
    </row>
    <row r="21" spans="2:21" x14ac:dyDescent="0.3">
      <c r="B21" s="2" t="s">
        <v>15</v>
      </c>
      <c r="C21" s="6" t="s">
        <v>54</v>
      </c>
      <c r="D21" s="2" t="s">
        <v>31</v>
      </c>
      <c r="E21" s="2" t="s">
        <v>37</v>
      </c>
      <c r="F21" s="2" t="s">
        <v>11</v>
      </c>
      <c r="G21" s="2">
        <v>5</v>
      </c>
      <c r="H21" s="2">
        <v>10</v>
      </c>
      <c r="I21" s="2">
        <v>1608</v>
      </c>
      <c r="J21" s="2">
        <v>231</v>
      </c>
      <c r="K21" s="2">
        <v>85</v>
      </c>
      <c r="L21" s="5">
        <v>111</v>
      </c>
      <c r="M21" s="5">
        <f t="shared" si="1"/>
        <v>22.2</v>
      </c>
      <c r="N21" s="5">
        <f t="shared" si="2"/>
        <v>555</v>
      </c>
      <c r="O21" s="5">
        <f t="shared" si="3"/>
        <v>222</v>
      </c>
      <c r="P21" s="5">
        <f t="shared" si="4"/>
        <v>168.18181818181819</v>
      </c>
      <c r="Q21" s="5">
        <f t="shared" si="5"/>
        <v>427.35</v>
      </c>
      <c r="R21" s="5">
        <f t="shared" si="6"/>
        <v>170.94</v>
      </c>
      <c r="S21" s="5">
        <f t="shared" si="7"/>
        <v>129.5</v>
      </c>
      <c r="T21" s="5">
        <f t="shared" si="8"/>
        <v>111</v>
      </c>
      <c r="U21" s="2" t="s">
        <v>48</v>
      </c>
    </row>
    <row r="22" spans="2:21" x14ac:dyDescent="0.3">
      <c r="B22" s="2" t="s">
        <v>15</v>
      </c>
      <c r="C22" s="6" t="s">
        <v>55</v>
      </c>
      <c r="D22" s="2" t="s">
        <v>29</v>
      </c>
      <c r="E22" s="2" t="s">
        <v>38</v>
      </c>
      <c r="F22" s="2" t="s">
        <v>10</v>
      </c>
      <c r="G22" s="2">
        <v>20</v>
      </c>
      <c r="H22" s="2">
        <v>47</v>
      </c>
      <c r="I22" s="2">
        <v>1005</v>
      </c>
      <c r="J22" s="2">
        <v>231</v>
      </c>
      <c r="K22" s="2">
        <v>95</v>
      </c>
      <c r="L22" s="5">
        <v>99</v>
      </c>
      <c r="M22" s="5">
        <f t="shared" si="1"/>
        <v>4.95</v>
      </c>
      <c r="N22" s="5">
        <f t="shared" si="2"/>
        <v>495</v>
      </c>
      <c r="O22" s="5">
        <f t="shared" si="3"/>
        <v>198</v>
      </c>
      <c r="P22" s="5">
        <f t="shared" si="4"/>
        <v>150</v>
      </c>
      <c r="Q22" s="5">
        <f t="shared" si="5"/>
        <v>381.15000000000003</v>
      </c>
      <c r="R22" s="5">
        <f t="shared" si="6"/>
        <v>152.46</v>
      </c>
      <c r="S22" s="5">
        <f t="shared" si="7"/>
        <v>115.5</v>
      </c>
      <c r="T22" s="5">
        <f t="shared" si="8"/>
        <v>24.75</v>
      </c>
      <c r="U22" s="2" t="s">
        <v>49</v>
      </c>
    </row>
    <row r="23" spans="2:21" x14ac:dyDescent="0.3">
      <c r="B23" s="2" t="s">
        <v>15</v>
      </c>
      <c r="C23" s="6" t="s">
        <v>55</v>
      </c>
      <c r="D23" s="2" t="s">
        <v>30</v>
      </c>
      <c r="E23" s="2" t="s">
        <v>39</v>
      </c>
      <c r="F23" s="2" t="s">
        <v>10</v>
      </c>
      <c r="G23" s="2">
        <v>10</v>
      </c>
      <c r="H23" s="2">
        <v>4.7</v>
      </c>
      <c r="I23" s="2">
        <v>1608</v>
      </c>
      <c r="J23" s="2">
        <v>231</v>
      </c>
      <c r="K23" s="2">
        <v>95</v>
      </c>
      <c r="L23" s="5">
        <v>521</v>
      </c>
      <c r="M23" s="5">
        <f t="shared" si="1"/>
        <v>52.1</v>
      </c>
      <c r="N23" s="5">
        <f t="shared" si="2"/>
        <v>2605</v>
      </c>
      <c r="O23" s="5">
        <f t="shared" si="3"/>
        <v>1042</v>
      </c>
      <c r="P23" s="5">
        <f t="shared" si="4"/>
        <v>789.39393939393938</v>
      </c>
      <c r="Q23" s="5">
        <f t="shared" si="5"/>
        <v>2005.8500000000001</v>
      </c>
      <c r="R23" s="5">
        <f t="shared" si="6"/>
        <v>802.34</v>
      </c>
      <c r="S23" s="5">
        <f t="shared" si="7"/>
        <v>607.83333333333337</v>
      </c>
      <c r="T23" s="5">
        <f t="shared" si="8"/>
        <v>260.5</v>
      </c>
      <c r="U23" s="2" t="s">
        <v>49</v>
      </c>
    </row>
    <row r="24" spans="2:21" x14ac:dyDescent="0.3">
      <c r="B24" s="2" t="s">
        <v>15</v>
      </c>
      <c r="C24" s="6" t="s">
        <v>55</v>
      </c>
      <c r="D24" s="2" t="s">
        <v>31</v>
      </c>
      <c r="E24" s="2">
        <v>5</v>
      </c>
      <c r="F24" s="2" t="s">
        <v>11</v>
      </c>
      <c r="G24" s="2">
        <v>5</v>
      </c>
      <c r="H24" s="2">
        <v>10</v>
      </c>
      <c r="I24" s="2">
        <v>1608</v>
      </c>
      <c r="J24" s="2">
        <v>231</v>
      </c>
      <c r="K24" s="2">
        <v>95</v>
      </c>
      <c r="L24" s="5">
        <v>1080</v>
      </c>
      <c r="M24" s="5">
        <f t="shared" si="1"/>
        <v>216</v>
      </c>
      <c r="N24" s="5">
        <f t="shared" si="2"/>
        <v>5400</v>
      </c>
      <c r="O24" s="5">
        <f t="shared" si="3"/>
        <v>2160</v>
      </c>
      <c r="P24" s="5">
        <f t="shared" si="4"/>
        <v>1636.3636363636363</v>
      </c>
      <c r="Q24" s="5">
        <f t="shared" si="5"/>
        <v>4158</v>
      </c>
      <c r="R24" s="5">
        <f t="shared" si="6"/>
        <v>1663.2</v>
      </c>
      <c r="S24" s="5">
        <f t="shared" si="7"/>
        <v>1260</v>
      </c>
      <c r="T24" s="5">
        <f t="shared" si="8"/>
        <v>1080</v>
      </c>
      <c r="U24" s="2" t="s">
        <v>49</v>
      </c>
    </row>
  </sheetData>
  <mergeCells count="9">
    <mergeCell ref="B2:K2"/>
    <mergeCell ref="N3:P3"/>
    <mergeCell ref="Q3:S3"/>
    <mergeCell ref="T4:T5"/>
    <mergeCell ref="U4:U5"/>
    <mergeCell ref="L4:M4"/>
    <mergeCell ref="B4:K4"/>
    <mergeCell ref="N4:P4"/>
    <mergeCell ref="Q4:S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2026-09-29T02:02:05Z</dcterms:created>
  <dcterms:modified xsi:type="dcterms:W3CDTF">2026-09-30T01:16:22Z</dcterms:modified>
</cp:coreProperties>
</file>