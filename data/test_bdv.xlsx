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5DCB1F6-ED5E-4044-9B8E-E3F5F5714D24}" xr6:coauthVersionLast="47" xr6:coauthVersionMax="47" xr10:uidLastSave="{00000000-0000-0000-0000-000000000000}"/>
  <bookViews>
    <workbookView xWindow="-120" yWindow="-120" windowWidth="29040" windowHeight="15720" xr2:uid="{DD21264B-7F4D-4808-A1EE-9D5B44D53BA3}"/>
  </bookViews>
  <sheets>
    <sheet name="BDV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24" i="4" l="1"/>
  <c r="R24" i="4"/>
  <c r="P24" i="4"/>
  <c r="O24" i="4"/>
  <c r="N24" i="4"/>
  <c r="Q24" i="4" s="1"/>
  <c r="P23" i="4"/>
  <c r="S23" i="4" s="1"/>
  <c r="O23" i="4"/>
  <c r="R23" i="4" s="1"/>
  <c r="N23" i="4"/>
  <c r="Q23" i="4" s="1"/>
  <c r="S22" i="4"/>
  <c r="R22" i="4"/>
  <c r="P22" i="4"/>
  <c r="O22" i="4"/>
  <c r="N22" i="4"/>
  <c r="Q22" i="4" s="1"/>
  <c r="P21" i="4"/>
  <c r="S21" i="4" s="1"/>
  <c r="O21" i="4"/>
  <c r="R21" i="4" s="1"/>
  <c r="N21" i="4"/>
  <c r="Q21" i="4" s="1"/>
  <c r="S20" i="4"/>
  <c r="R20" i="4"/>
  <c r="P20" i="4"/>
  <c r="O20" i="4"/>
  <c r="N20" i="4"/>
  <c r="Q20" i="4" s="1"/>
  <c r="P19" i="4"/>
  <c r="S19" i="4" s="1"/>
  <c r="O19" i="4"/>
  <c r="R19" i="4" s="1"/>
  <c r="N19" i="4"/>
  <c r="Q19" i="4" s="1"/>
  <c r="S18" i="4"/>
  <c r="R18" i="4"/>
  <c r="P18" i="4"/>
  <c r="O18" i="4"/>
  <c r="N18" i="4"/>
  <c r="Q18" i="4" s="1"/>
  <c r="P17" i="4"/>
  <c r="S17" i="4" s="1"/>
  <c r="O17" i="4"/>
  <c r="R17" i="4" s="1"/>
  <c r="N17" i="4"/>
  <c r="Q17" i="4" s="1"/>
  <c r="S16" i="4"/>
  <c r="R16" i="4"/>
  <c r="P16" i="4"/>
  <c r="O16" i="4"/>
  <c r="N16" i="4"/>
  <c r="Q16" i="4" s="1"/>
  <c r="P15" i="4"/>
  <c r="S15" i="4" s="1"/>
  <c r="O15" i="4"/>
  <c r="R15" i="4" s="1"/>
  <c r="N15" i="4"/>
  <c r="Q15" i="4" s="1"/>
  <c r="S14" i="4"/>
  <c r="R14" i="4"/>
  <c r="P14" i="4"/>
  <c r="O14" i="4"/>
  <c r="N14" i="4"/>
  <c r="Q14" i="4" s="1"/>
  <c r="P13" i="4"/>
  <c r="S13" i="4" s="1"/>
  <c r="O13" i="4"/>
  <c r="R13" i="4" s="1"/>
  <c r="N13" i="4"/>
  <c r="T13" i="4" s="1"/>
  <c r="S12" i="4"/>
  <c r="R12" i="4"/>
  <c r="P12" i="4"/>
  <c r="O12" i="4"/>
  <c r="N12" i="4"/>
  <c r="Q12" i="4" s="1"/>
  <c r="P11" i="4"/>
  <c r="S11" i="4" s="1"/>
  <c r="O11" i="4"/>
  <c r="R11" i="4" s="1"/>
  <c r="N11" i="4"/>
  <c r="T11" i="4" s="1"/>
  <c r="S10" i="4"/>
  <c r="R10" i="4"/>
  <c r="P10" i="4"/>
  <c r="O10" i="4"/>
  <c r="N10" i="4"/>
  <c r="Q10" i="4" s="1"/>
  <c r="P9" i="4"/>
  <c r="S9" i="4" s="1"/>
  <c r="O9" i="4"/>
  <c r="R9" i="4" s="1"/>
  <c r="N9" i="4"/>
  <c r="T9" i="4" s="1"/>
  <c r="S8" i="4"/>
  <c r="R8" i="4"/>
  <c r="P8" i="4"/>
  <c r="O8" i="4"/>
  <c r="N8" i="4"/>
  <c r="Q8" i="4" s="1"/>
  <c r="P7" i="4"/>
  <c r="S7" i="4" s="1"/>
  <c r="O7" i="4"/>
  <c r="R7" i="4" s="1"/>
  <c r="N7" i="4"/>
  <c r="T7" i="4" s="1"/>
  <c r="S6" i="4"/>
  <c r="R6" i="4"/>
  <c r="Q6" i="4"/>
  <c r="P6" i="4"/>
  <c r="O6" i="4"/>
  <c r="N6" i="4"/>
  <c r="M13" i="4"/>
  <c r="T16" i="4"/>
  <c r="T24" i="4"/>
  <c r="T22" i="4"/>
  <c r="T20" i="4"/>
  <c r="T17" i="4"/>
  <c r="T6" i="4"/>
  <c r="M24" i="4"/>
  <c r="M23" i="4"/>
  <c r="M22" i="4"/>
  <c r="M21" i="4"/>
  <c r="M20" i="4"/>
  <c r="M19" i="4"/>
  <c r="M18" i="4"/>
  <c r="M17" i="4"/>
  <c r="M16" i="4"/>
  <c r="M15" i="4"/>
  <c r="M14" i="4"/>
  <c r="M12" i="4"/>
  <c r="M11" i="4"/>
  <c r="M10" i="4"/>
  <c r="M9" i="4"/>
  <c r="M8" i="4"/>
  <c r="M7" i="4"/>
  <c r="M6" i="4"/>
  <c r="T23" i="4" l="1"/>
  <c r="Q7" i="4"/>
  <c r="Q9" i="4"/>
  <c r="Q11" i="4"/>
  <c r="Q13" i="4"/>
  <c r="T12" i="4"/>
  <c r="T21" i="4"/>
  <c r="T14" i="4"/>
  <c r="T15" i="4"/>
  <c r="T8" i="4"/>
  <c r="T18" i="4"/>
  <c r="T19" i="4"/>
  <c r="T10" i="4"/>
</calcChain>
</file>

<file path=xl/sharedStrings.xml><?xml version="1.0" encoding="utf-8"?>
<sst xmlns="http://schemas.openxmlformats.org/spreadsheetml/2006/main" count="142" uniqueCount="57">
  <si>
    <t>부품사</t>
    <phoneticPr fontId="1" type="noConversion"/>
  </si>
  <si>
    <t>자재코드</t>
    <phoneticPr fontId="1" type="noConversion"/>
  </si>
  <si>
    <t>2203-008953</t>
    <phoneticPr fontId="1" type="noConversion"/>
  </si>
  <si>
    <t>2203-007317</t>
    <phoneticPr fontId="1" type="noConversion"/>
  </si>
  <si>
    <t>2203-010255</t>
    <phoneticPr fontId="1" type="noConversion"/>
  </si>
  <si>
    <t>부품사코드</t>
    <phoneticPr fontId="1" type="noConversion"/>
  </si>
  <si>
    <t>Grade</t>
    <phoneticPr fontId="1" type="noConversion"/>
  </si>
  <si>
    <t>정격전압(V)</t>
    <phoneticPr fontId="1" type="noConversion"/>
  </si>
  <si>
    <t>정격용량(uF)</t>
    <phoneticPr fontId="1" type="noConversion"/>
  </si>
  <si>
    <t>Size</t>
    <phoneticPr fontId="1" type="noConversion"/>
  </si>
  <si>
    <t>X5R</t>
    <phoneticPr fontId="1" type="noConversion"/>
  </si>
  <si>
    <t>X6S</t>
    <phoneticPr fontId="1" type="noConversion"/>
  </si>
  <si>
    <t>업데이트일자</t>
    <phoneticPr fontId="1" type="noConversion"/>
  </si>
  <si>
    <t>MLCC 및 평가정보</t>
    <phoneticPr fontId="1" type="noConversion"/>
  </si>
  <si>
    <t>2026.06.04</t>
    <phoneticPr fontId="1" type="noConversion"/>
  </si>
  <si>
    <t>2026.08.11</t>
    <phoneticPr fontId="1" type="noConversion"/>
  </si>
  <si>
    <t>BDV평가수량</t>
    <phoneticPr fontId="1" type="noConversion"/>
  </si>
  <si>
    <t>BDV평가온도</t>
    <phoneticPr fontId="1" type="noConversion"/>
  </si>
  <si>
    <t>BDV 결과 (Typ.)</t>
    <phoneticPr fontId="1" type="noConversion"/>
  </si>
  <si>
    <t>정격대비수준</t>
    <phoneticPr fontId="1" type="noConversion"/>
  </si>
  <si>
    <t>Lower</t>
    <phoneticPr fontId="1" type="noConversion"/>
  </si>
  <si>
    <t>Typ.</t>
    <phoneticPr fontId="1" type="noConversion"/>
  </si>
  <si>
    <t>Upper</t>
    <phoneticPr fontId="1" type="noConversion"/>
  </si>
  <si>
    <t>BDV 평가결과</t>
    <phoneticPr fontId="1" type="noConversion"/>
  </si>
  <si>
    <t>Bx(0.0001)</t>
    <phoneticPr fontId="1" type="noConversion"/>
  </si>
  <si>
    <t>Bx(0.001)</t>
    <phoneticPr fontId="1" type="noConversion"/>
  </si>
  <si>
    <t>정격/1ppm 하한값</t>
    <phoneticPr fontId="1" type="noConversion"/>
  </si>
  <si>
    <t>Outlier 제거여부</t>
    <phoneticPr fontId="1" type="noConversion"/>
  </si>
  <si>
    <t>2203-003281</t>
    <phoneticPr fontId="1" type="noConversion"/>
  </si>
  <si>
    <t>2203-008087</t>
    <phoneticPr fontId="1" type="noConversion"/>
  </si>
  <si>
    <t>2203-000699</t>
    <phoneticPr fontId="1" type="noConversion"/>
  </si>
  <si>
    <t>2203-010667</t>
    <phoneticPr fontId="1" type="noConversion"/>
  </si>
  <si>
    <t>A1</t>
    <phoneticPr fontId="1" type="noConversion"/>
  </si>
  <si>
    <t>B1</t>
    <phoneticPr fontId="1" type="noConversion"/>
  </si>
  <si>
    <t>C1</t>
    <phoneticPr fontId="1" type="noConversion"/>
  </si>
  <si>
    <t>D2</t>
    <phoneticPr fontId="1" type="noConversion"/>
  </si>
  <si>
    <t>E2</t>
    <phoneticPr fontId="1" type="noConversion"/>
  </si>
  <si>
    <t>F2</t>
    <phoneticPr fontId="1" type="noConversion"/>
  </si>
  <si>
    <t>G5</t>
    <phoneticPr fontId="1" type="noConversion"/>
  </si>
  <si>
    <t>H5</t>
    <phoneticPr fontId="1" type="noConversion"/>
  </si>
  <si>
    <t>I4</t>
    <phoneticPr fontId="1" type="noConversion"/>
  </si>
  <si>
    <t>G4</t>
    <phoneticPr fontId="1" type="noConversion"/>
  </si>
  <si>
    <t>F5</t>
    <phoneticPr fontId="1" type="noConversion"/>
  </si>
  <si>
    <t>D5</t>
    <phoneticPr fontId="1" type="noConversion"/>
  </si>
  <si>
    <t>E5</t>
    <phoneticPr fontId="1" type="noConversion"/>
  </si>
  <si>
    <t>C4</t>
    <phoneticPr fontId="1" type="noConversion"/>
  </si>
  <si>
    <t>B8</t>
    <phoneticPr fontId="1" type="noConversion"/>
  </si>
  <si>
    <t>A8</t>
    <phoneticPr fontId="1" type="noConversion"/>
  </si>
  <si>
    <t>Y</t>
    <phoneticPr fontId="1" type="noConversion"/>
  </si>
  <si>
    <t>N</t>
    <phoneticPr fontId="1" type="noConversion"/>
  </si>
  <si>
    <t>BDV 1ppm전압</t>
    <phoneticPr fontId="1" type="noConversion"/>
  </si>
  <si>
    <t>BDV 10ppm전압</t>
    <phoneticPr fontId="1" type="noConversion"/>
  </si>
  <si>
    <t xml:space="preserve">BDV dashboard 요구사항
1. 부품사 -&gt; 자재코드 순으로 선택 가능하게끔 
2. 1번 선택 이후 excel에 있는 데이터를 깔끔하게 정보표현
3. BDV 1ppm 전압과 정격전압과의 비교 (비율) 추가 (정격/1PPM 하한값 등)
4. 부품사 간 동일한 자재코드 BDV 비교 그래프 추가 </t>
    <phoneticPr fontId="1" type="noConversion"/>
  </si>
  <si>
    <t>Supplier A</t>
    <phoneticPr fontId="1" type="noConversion"/>
  </si>
  <si>
    <t>Supplier B</t>
    <phoneticPr fontId="1" type="noConversion"/>
  </si>
  <si>
    <t>Supplier C</t>
    <phoneticPr fontId="1" type="noConversion"/>
  </si>
  <si>
    <t>77*3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</si>
</sst>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D64F2-F80B-47A0-9DE8-DDAE625DD8B9}">
  <dimension ref="B2:U24"/>
  <sheetViews>
    <sheetView showGridLines="0" tabSelected="1" topLeftCell="B1" workbookViewId="0">
      <selection activeCell="F9" sqref="F9"/>
    </sheetView>
  </sheetViews>
  <sheetFormatPr defaultRowHeight="16.5" x14ac:dyDescent="0.3"/>
  <cols>
    <col min="1" max="1" width="4.375" style="1" customWidth="1"/>
    <col min="2" max="2" width="13" style="1" bestFit="1" customWidth="1"/>
    <col min="3" max="3" width="11.875" style="1" customWidth="1"/>
    <col min="4" max="4" width="13.125" style="1" bestFit="1" customWidth="1"/>
    <col min="5" max="9" width="11.875" style="1" customWidth="1"/>
    <col min="10" max="10" width="13.875" style="1" customWidth="1"/>
    <col min="11" max="11" width="11.875" style="1" customWidth="1"/>
    <col min="12" max="12" width="15.375" style="1" bestFit="1" customWidth="1"/>
    <col min="13" max="13" width="15.5" style="1" bestFit="1" customWidth="1"/>
    <col min="14" max="19" width="9" style="1" customWidth="1"/>
    <col min="20" max="20" width="17.875" style="1" bestFit="1" customWidth="1"/>
    <col min="21" max="21" width="16.125" style="1" bestFit="1" customWidth="1"/>
    <col min="22" max="16384" width="9" style="1"/>
  </cols>
  <sheetData>
    <row r="2" spans="2:21" ht="129" customHeight="1" x14ac:dyDescent="0.3">
      <c r="B2" s="9" t="s">
        <v>52</v>
      </c>
      <c r="C2" s="9"/>
      <c r="D2" s="9"/>
      <c r="E2" s="9"/>
      <c r="F2" s="9"/>
      <c r="G2" s="9"/>
      <c r="H2" s="9"/>
      <c r="I2" s="9"/>
      <c r="J2" s="9"/>
      <c r="K2" s="9"/>
    </row>
    <row r="3" spans="2:21" x14ac:dyDescent="0.3">
      <c r="N3" s="10" t="s">
        <v>50</v>
      </c>
      <c r="O3" s="10"/>
      <c r="P3" s="10"/>
      <c r="Q3" s="10" t="s">
        <v>51</v>
      </c>
      <c r="R3" s="10"/>
      <c r="S3" s="10"/>
    </row>
    <row r="4" spans="2:21" x14ac:dyDescent="0.3">
      <c r="B4" s="15" t="s">
        <v>13</v>
      </c>
      <c r="C4" s="15"/>
      <c r="D4" s="15"/>
      <c r="E4" s="15"/>
      <c r="F4" s="15"/>
      <c r="G4" s="15"/>
      <c r="H4" s="15"/>
      <c r="I4" s="15"/>
      <c r="J4" s="15"/>
      <c r="K4" s="15"/>
      <c r="L4" s="13" t="s">
        <v>23</v>
      </c>
      <c r="M4" s="14"/>
      <c r="N4" s="15" t="s">
        <v>24</v>
      </c>
      <c r="O4" s="15"/>
      <c r="P4" s="15"/>
      <c r="Q4" s="15" t="s">
        <v>25</v>
      </c>
      <c r="R4" s="15"/>
      <c r="S4" s="15"/>
      <c r="T4" s="11" t="s">
        <v>26</v>
      </c>
      <c r="U4" s="11" t="s">
        <v>27</v>
      </c>
    </row>
    <row r="5" spans="2:21" x14ac:dyDescent="0.3">
      <c r="B5" s="4" t="s">
        <v>12</v>
      </c>
      <c r="C5" s="4" t="s">
        <v>0</v>
      </c>
      <c r="D5" s="4" t="s">
        <v>1</v>
      </c>
      <c r="E5" s="4" t="s">
        <v>5</v>
      </c>
      <c r="F5" s="4" t="s">
        <v>6</v>
      </c>
      <c r="G5" s="4" t="s">
        <v>7</v>
      </c>
      <c r="H5" s="4" t="s">
        <v>8</v>
      </c>
      <c r="I5" s="4" t="s">
        <v>9</v>
      </c>
      <c r="J5" s="4" t="s">
        <v>16</v>
      </c>
      <c r="K5" s="4" t="s">
        <v>17</v>
      </c>
      <c r="L5" s="4" t="s">
        <v>18</v>
      </c>
      <c r="M5" s="4" t="s">
        <v>19</v>
      </c>
      <c r="N5" s="4" t="s">
        <v>20</v>
      </c>
      <c r="O5" s="3" t="s">
        <v>21</v>
      </c>
      <c r="P5" s="4" t="s">
        <v>22</v>
      </c>
      <c r="Q5" s="4" t="s">
        <v>20</v>
      </c>
      <c r="R5" s="3" t="s">
        <v>21</v>
      </c>
      <c r="S5" s="4" t="s">
        <v>22</v>
      </c>
      <c r="T5" s="12"/>
      <c r="U5" s="12"/>
    </row>
    <row r="6" spans="2:21" s="8" customFormat="1" x14ac:dyDescent="0.3">
      <c r="B6" s="6" t="s">
        <v>14</v>
      </c>
      <c r="C6" s="6" t="s">
        <v>53</v>
      </c>
      <c r="D6" s="6" t="s">
        <v>3</v>
      </c>
      <c r="E6" s="6" t="s">
        <v>47</v>
      </c>
      <c r="F6" s="6" t="s">
        <v>10</v>
      </c>
      <c r="G6" s="6">
        <v>6.3</v>
      </c>
      <c r="H6" s="6">
        <v>47</v>
      </c>
      <c r="I6" s="6">
        <v>1005</v>
      </c>
      <c r="J6" s="6">
        <v>231</v>
      </c>
      <c r="K6" s="6">
        <v>85</v>
      </c>
      <c r="L6" s="7">
        <v>546</v>
      </c>
      <c r="M6" s="7">
        <f>L6/G6</f>
        <v>86.666666666666671</v>
      </c>
      <c r="N6" s="7">
        <f>L6*0.2</f>
        <v>109.2</v>
      </c>
      <c r="O6" s="7">
        <f>L6*0.5</f>
        <v>273</v>
      </c>
      <c r="P6" s="7">
        <f>L6*0.66</f>
        <v>360.36</v>
      </c>
      <c r="Q6" s="7">
        <f>N6*1.2</f>
        <v>131.04</v>
      </c>
      <c r="R6" s="7">
        <f>O6*1.32</f>
        <v>360.36</v>
      </c>
      <c r="S6" s="7">
        <f>P6*1.15</f>
        <v>414.41399999999999</v>
      </c>
      <c r="T6" s="7">
        <f>N6/G6</f>
        <v>17.333333333333336</v>
      </c>
      <c r="U6" s="6" t="s">
        <v>48</v>
      </c>
    </row>
    <row r="7" spans="2:21" s="8" customFormat="1" x14ac:dyDescent="0.3">
      <c r="B7" s="6" t="s">
        <v>14</v>
      </c>
      <c r="C7" s="6" t="s">
        <v>53</v>
      </c>
      <c r="D7" s="6" t="s">
        <v>2</v>
      </c>
      <c r="E7" s="6" t="s">
        <v>46</v>
      </c>
      <c r="F7" s="6" t="s">
        <v>10</v>
      </c>
      <c r="G7" s="6">
        <v>4</v>
      </c>
      <c r="H7" s="6">
        <v>4.7</v>
      </c>
      <c r="I7" s="6">
        <v>1608</v>
      </c>
      <c r="J7" s="6">
        <v>231</v>
      </c>
      <c r="K7" s="6">
        <v>85</v>
      </c>
      <c r="L7" s="7">
        <v>54</v>
      </c>
      <c r="M7" s="7">
        <f t="shared" ref="M7:M24" si="0">L7/G7</f>
        <v>13.5</v>
      </c>
      <c r="N7" s="7">
        <f t="shared" ref="N7:N24" si="1">L7*0.2</f>
        <v>10.8</v>
      </c>
      <c r="O7" s="7">
        <f t="shared" ref="O7:O24" si="2">L7*0.5</f>
        <v>27</v>
      </c>
      <c r="P7" s="7">
        <f t="shared" ref="P7:P24" si="3">L7*0.66</f>
        <v>35.64</v>
      </c>
      <c r="Q7" s="7">
        <f t="shared" ref="Q7:Q24" si="4">N7*1.2</f>
        <v>12.96</v>
      </c>
      <c r="R7" s="7">
        <f t="shared" ref="R7:R24" si="5">O7*1.32</f>
        <v>35.64</v>
      </c>
      <c r="S7" s="7">
        <f t="shared" ref="S7:S24" si="6">P7*1.15</f>
        <v>40.985999999999997</v>
      </c>
      <c r="T7" s="7">
        <f t="shared" ref="T7:T24" si="7">N7/G7</f>
        <v>2.7</v>
      </c>
      <c r="U7" s="6" t="s">
        <v>48</v>
      </c>
    </row>
    <row r="8" spans="2:21" s="8" customFormat="1" x14ac:dyDescent="0.3">
      <c r="B8" s="6" t="s">
        <v>14</v>
      </c>
      <c r="C8" s="6" t="s">
        <v>53</v>
      </c>
      <c r="D8" s="6" t="s">
        <v>4</v>
      </c>
      <c r="E8" s="6" t="s">
        <v>45</v>
      </c>
      <c r="F8" s="6" t="s">
        <v>11</v>
      </c>
      <c r="G8" s="6">
        <v>10</v>
      </c>
      <c r="H8" s="6">
        <v>10</v>
      </c>
      <c r="I8" s="6">
        <v>1608</v>
      </c>
      <c r="J8" s="6">
        <v>231</v>
      </c>
      <c r="K8" s="6">
        <v>85</v>
      </c>
      <c r="L8" s="7">
        <v>251</v>
      </c>
      <c r="M8" s="7">
        <f t="shared" si="0"/>
        <v>25.1</v>
      </c>
      <c r="N8" s="7">
        <f t="shared" si="1"/>
        <v>50.2</v>
      </c>
      <c r="O8" s="7">
        <f t="shared" si="2"/>
        <v>125.5</v>
      </c>
      <c r="P8" s="7">
        <f t="shared" si="3"/>
        <v>165.66</v>
      </c>
      <c r="Q8" s="7">
        <f t="shared" si="4"/>
        <v>60.24</v>
      </c>
      <c r="R8" s="7">
        <f t="shared" si="5"/>
        <v>165.66</v>
      </c>
      <c r="S8" s="7">
        <f t="shared" si="6"/>
        <v>190.50899999999999</v>
      </c>
      <c r="T8" s="7">
        <f t="shared" si="7"/>
        <v>5.0200000000000005</v>
      </c>
      <c r="U8" s="6" t="s">
        <v>48</v>
      </c>
    </row>
    <row r="9" spans="2:21" s="8" customFormat="1" x14ac:dyDescent="0.3">
      <c r="B9" s="6" t="s">
        <v>14</v>
      </c>
      <c r="C9" s="6" t="s">
        <v>54</v>
      </c>
      <c r="D9" s="6" t="s">
        <v>3</v>
      </c>
      <c r="E9" s="6" t="s">
        <v>43</v>
      </c>
      <c r="F9" s="6" t="s">
        <v>10</v>
      </c>
      <c r="G9" s="6">
        <v>6.3</v>
      </c>
      <c r="H9" s="6">
        <v>47</v>
      </c>
      <c r="I9" s="6">
        <v>1005</v>
      </c>
      <c r="J9" s="6">
        <v>231</v>
      </c>
      <c r="K9" s="6">
        <v>85</v>
      </c>
      <c r="L9" s="7">
        <v>555</v>
      </c>
      <c r="M9" s="7">
        <f t="shared" si="0"/>
        <v>88.095238095238102</v>
      </c>
      <c r="N9" s="7">
        <f t="shared" si="1"/>
        <v>111</v>
      </c>
      <c r="O9" s="7">
        <f t="shared" si="2"/>
        <v>277.5</v>
      </c>
      <c r="P9" s="7">
        <f t="shared" si="3"/>
        <v>366.3</v>
      </c>
      <c r="Q9" s="7">
        <f t="shared" si="4"/>
        <v>133.19999999999999</v>
      </c>
      <c r="R9" s="7">
        <f t="shared" si="5"/>
        <v>366.3</v>
      </c>
      <c r="S9" s="7">
        <f t="shared" si="6"/>
        <v>421.245</v>
      </c>
      <c r="T9" s="7">
        <f t="shared" si="7"/>
        <v>17.61904761904762</v>
      </c>
      <c r="U9" s="6" t="s">
        <v>48</v>
      </c>
    </row>
    <row r="10" spans="2:21" s="8" customFormat="1" x14ac:dyDescent="0.3">
      <c r="B10" s="6" t="s">
        <v>14</v>
      </c>
      <c r="C10" s="6" t="s">
        <v>54</v>
      </c>
      <c r="D10" s="6" t="s">
        <v>2</v>
      </c>
      <c r="E10" s="6" t="s">
        <v>44</v>
      </c>
      <c r="F10" s="6" t="s">
        <v>10</v>
      </c>
      <c r="G10" s="6">
        <v>4</v>
      </c>
      <c r="H10" s="6">
        <v>4.7</v>
      </c>
      <c r="I10" s="6">
        <v>1608</v>
      </c>
      <c r="J10" s="6">
        <v>231</v>
      </c>
      <c r="K10" s="6">
        <v>85</v>
      </c>
      <c r="L10" s="7">
        <v>52</v>
      </c>
      <c r="M10" s="7">
        <f t="shared" si="0"/>
        <v>13</v>
      </c>
      <c r="N10" s="7">
        <f t="shared" si="1"/>
        <v>10.4</v>
      </c>
      <c r="O10" s="7">
        <f t="shared" si="2"/>
        <v>26</v>
      </c>
      <c r="P10" s="7">
        <f t="shared" si="3"/>
        <v>34.32</v>
      </c>
      <c r="Q10" s="7">
        <f t="shared" si="4"/>
        <v>12.48</v>
      </c>
      <c r="R10" s="7">
        <f t="shared" si="5"/>
        <v>34.32</v>
      </c>
      <c r="S10" s="7">
        <f t="shared" si="6"/>
        <v>39.467999999999996</v>
      </c>
      <c r="T10" s="7">
        <f t="shared" si="7"/>
        <v>2.6</v>
      </c>
      <c r="U10" s="6" t="s">
        <v>48</v>
      </c>
    </row>
    <row r="11" spans="2:21" s="8" customFormat="1" x14ac:dyDescent="0.3">
      <c r="B11" s="6" t="s">
        <v>14</v>
      </c>
      <c r="C11" s="6" t="s">
        <v>54</v>
      </c>
      <c r="D11" s="6" t="s">
        <v>4</v>
      </c>
      <c r="E11" s="6" t="s">
        <v>42</v>
      </c>
      <c r="F11" s="6" t="s">
        <v>11</v>
      </c>
      <c r="G11" s="6">
        <v>10</v>
      </c>
      <c r="H11" s="6">
        <v>10</v>
      </c>
      <c r="I11" s="6">
        <v>1608</v>
      </c>
      <c r="J11" s="6">
        <v>231</v>
      </c>
      <c r="K11" s="6">
        <v>85</v>
      </c>
      <c r="L11" s="7">
        <v>218</v>
      </c>
      <c r="M11" s="7">
        <f t="shared" si="0"/>
        <v>21.8</v>
      </c>
      <c r="N11" s="7">
        <f t="shared" si="1"/>
        <v>43.6</v>
      </c>
      <c r="O11" s="7">
        <f t="shared" si="2"/>
        <v>109</v>
      </c>
      <c r="P11" s="7">
        <f t="shared" si="3"/>
        <v>143.88</v>
      </c>
      <c r="Q11" s="7">
        <f t="shared" si="4"/>
        <v>52.32</v>
      </c>
      <c r="R11" s="7">
        <f t="shared" si="5"/>
        <v>143.88</v>
      </c>
      <c r="S11" s="7">
        <f t="shared" si="6"/>
        <v>165.46199999999999</v>
      </c>
      <c r="T11" s="7">
        <f t="shared" si="7"/>
        <v>4.3600000000000003</v>
      </c>
      <c r="U11" s="6" t="s">
        <v>48</v>
      </c>
    </row>
    <row r="12" spans="2:21" s="8" customFormat="1" x14ac:dyDescent="0.3">
      <c r="B12" s="6" t="s">
        <v>14</v>
      </c>
      <c r="C12" s="6" t="s">
        <v>55</v>
      </c>
      <c r="D12" s="6" t="s">
        <v>3</v>
      </c>
      <c r="E12" s="6" t="s">
        <v>41</v>
      </c>
      <c r="F12" s="6" t="s">
        <v>10</v>
      </c>
      <c r="G12" s="6">
        <v>6.3</v>
      </c>
      <c r="H12" s="6">
        <v>47</v>
      </c>
      <c r="I12" s="6">
        <v>1005</v>
      </c>
      <c r="J12" s="6">
        <v>231</v>
      </c>
      <c r="K12" s="6">
        <v>85</v>
      </c>
      <c r="L12" s="7">
        <v>431</v>
      </c>
      <c r="M12" s="7">
        <f t="shared" si="0"/>
        <v>68.412698412698418</v>
      </c>
      <c r="N12" s="7">
        <f t="shared" si="1"/>
        <v>86.2</v>
      </c>
      <c r="O12" s="7">
        <f t="shared" si="2"/>
        <v>215.5</v>
      </c>
      <c r="P12" s="7">
        <f t="shared" si="3"/>
        <v>284.46000000000004</v>
      </c>
      <c r="Q12" s="7">
        <f t="shared" si="4"/>
        <v>103.44</v>
      </c>
      <c r="R12" s="7">
        <f t="shared" si="5"/>
        <v>284.46000000000004</v>
      </c>
      <c r="S12" s="7">
        <f t="shared" si="6"/>
        <v>327.12900000000002</v>
      </c>
      <c r="T12" s="7">
        <f t="shared" si="7"/>
        <v>13.682539682539684</v>
      </c>
      <c r="U12" s="6" t="s">
        <v>48</v>
      </c>
    </row>
    <row r="13" spans="2:21" s="8" customFormat="1" x14ac:dyDescent="0.3">
      <c r="B13" s="6" t="s">
        <v>14</v>
      </c>
      <c r="C13" s="6" t="s">
        <v>55</v>
      </c>
      <c r="D13" s="6" t="s">
        <v>2</v>
      </c>
      <c r="E13" s="6" t="s">
        <v>46</v>
      </c>
      <c r="F13" s="6" t="s">
        <v>10</v>
      </c>
      <c r="G13" s="6">
        <v>4</v>
      </c>
      <c r="H13" s="6">
        <v>4.7</v>
      </c>
      <c r="I13" s="6">
        <v>1608</v>
      </c>
      <c r="J13" s="6">
        <v>231</v>
      </c>
      <c r="K13" s="6">
        <v>85</v>
      </c>
      <c r="L13" s="7">
        <v>59</v>
      </c>
      <c r="M13" s="7">
        <f t="shared" ref="M13" si="8">L13/G13</f>
        <v>14.75</v>
      </c>
      <c r="N13" s="7">
        <f t="shared" si="1"/>
        <v>11.8</v>
      </c>
      <c r="O13" s="7">
        <f t="shared" si="2"/>
        <v>29.5</v>
      </c>
      <c r="P13" s="7">
        <f t="shared" si="3"/>
        <v>38.940000000000005</v>
      </c>
      <c r="Q13" s="7">
        <f t="shared" si="4"/>
        <v>14.16</v>
      </c>
      <c r="R13" s="7">
        <f t="shared" si="5"/>
        <v>38.940000000000005</v>
      </c>
      <c r="S13" s="7">
        <f t="shared" si="6"/>
        <v>44.780999999999999</v>
      </c>
      <c r="T13" s="7">
        <f t="shared" ref="T13" si="9">N13/G13</f>
        <v>2.95</v>
      </c>
      <c r="U13" s="6" t="s">
        <v>48</v>
      </c>
    </row>
    <row r="14" spans="2:21" x14ac:dyDescent="0.3">
      <c r="B14" s="2" t="s">
        <v>14</v>
      </c>
      <c r="C14" s="6" t="s">
        <v>55</v>
      </c>
      <c r="D14" s="2" t="s">
        <v>28</v>
      </c>
      <c r="E14" s="2" t="s">
        <v>39</v>
      </c>
      <c r="F14" s="2" t="s">
        <v>10</v>
      </c>
      <c r="G14" s="2">
        <v>4</v>
      </c>
      <c r="H14" s="2">
        <v>4.7</v>
      </c>
      <c r="I14" s="2">
        <v>1608</v>
      </c>
      <c r="J14" s="2">
        <v>231</v>
      </c>
      <c r="K14" s="2">
        <v>85</v>
      </c>
      <c r="L14" s="5">
        <v>243</v>
      </c>
      <c r="M14" s="5">
        <f t="shared" si="0"/>
        <v>60.75</v>
      </c>
      <c r="N14" s="7">
        <f t="shared" si="1"/>
        <v>48.6</v>
      </c>
      <c r="O14" s="7">
        <f t="shared" si="2"/>
        <v>121.5</v>
      </c>
      <c r="P14" s="7">
        <f t="shared" si="3"/>
        <v>160.38</v>
      </c>
      <c r="Q14" s="7">
        <f t="shared" si="4"/>
        <v>58.32</v>
      </c>
      <c r="R14" s="7">
        <f t="shared" si="5"/>
        <v>160.38</v>
      </c>
      <c r="S14" s="7">
        <f t="shared" si="6"/>
        <v>184.43699999999998</v>
      </c>
      <c r="T14" s="5">
        <f t="shared" si="7"/>
        <v>12.15</v>
      </c>
      <c r="U14" s="2" t="s">
        <v>48</v>
      </c>
    </row>
    <row r="15" spans="2:21" x14ac:dyDescent="0.3">
      <c r="B15" s="2" t="s">
        <v>14</v>
      </c>
      <c r="C15" s="6" t="s">
        <v>55</v>
      </c>
      <c r="D15" s="2" t="s">
        <v>4</v>
      </c>
      <c r="E15" s="2" t="s">
        <v>40</v>
      </c>
      <c r="F15" s="2" t="s">
        <v>11</v>
      </c>
      <c r="G15" s="2">
        <v>10</v>
      </c>
      <c r="H15" s="2">
        <v>10</v>
      </c>
      <c r="I15" s="2">
        <v>1608</v>
      </c>
      <c r="J15" s="2">
        <v>231</v>
      </c>
      <c r="K15" s="2">
        <v>85</v>
      </c>
      <c r="L15" s="5">
        <v>211</v>
      </c>
      <c r="M15" s="5">
        <f t="shared" si="0"/>
        <v>21.1</v>
      </c>
      <c r="N15" s="7">
        <f t="shared" si="1"/>
        <v>42.2</v>
      </c>
      <c r="O15" s="7">
        <f t="shared" si="2"/>
        <v>105.5</v>
      </c>
      <c r="P15" s="7">
        <f t="shared" si="3"/>
        <v>139.26000000000002</v>
      </c>
      <c r="Q15" s="7">
        <f t="shared" si="4"/>
        <v>50.64</v>
      </c>
      <c r="R15" s="7">
        <f t="shared" si="5"/>
        <v>139.26000000000002</v>
      </c>
      <c r="S15" s="7">
        <f t="shared" si="6"/>
        <v>160.149</v>
      </c>
      <c r="T15" s="5">
        <f t="shared" si="7"/>
        <v>4.2200000000000006</v>
      </c>
      <c r="U15" s="2" t="s">
        <v>48</v>
      </c>
    </row>
    <row r="16" spans="2:21" x14ac:dyDescent="0.3">
      <c r="B16" s="2" t="s">
        <v>14</v>
      </c>
      <c r="C16" s="6" t="s">
        <v>53</v>
      </c>
      <c r="D16" s="2" t="s">
        <v>29</v>
      </c>
      <c r="E16" s="2" t="s">
        <v>32</v>
      </c>
      <c r="F16" s="2" t="s">
        <v>10</v>
      </c>
      <c r="G16" s="2">
        <v>20</v>
      </c>
      <c r="H16" s="2">
        <v>47</v>
      </c>
      <c r="I16" s="2">
        <v>1005</v>
      </c>
      <c r="J16" s="2">
        <v>231</v>
      </c>
      <c r="K16" s="2">
        <v>85</v>
      </c>
      <c r="L16" s="5">
        <v>235</v>
      </c>
      <c r="M16" s="5">
        <f t="shared" si="0"/>
        <v>11.75</v>
      </c>
      <c r="N16" s="7">
        <f t="shared" si="1"/>
        <v>47</v>
      </c>
      <c r="O16" s="7">
        <f t="shared" si="2"/>
        <v>117.5</v>
      </c>
      <c r="P16" s="7">
        <f t="shared" si="3"/>
        <v>155.1</v>
      </c>
      <c r="Q16" s="7">
        <f t="shared" si="4"/>
        <v>56.4</v>
      </c>
      <c r="R16" s="7">
        <f t="shared" si="5"/>
        <v>155.1</v>
      </c>
      <c r="S16" s="7">
        <f t="shared" si="6"/>
        <v>178.36499999999998</v>
      </c>
      <c r="T16" s="5">
        <f t="shared" si="7"/>
        <v>2.35</v>
      </c>
      <c r="U16" s="2" t="s">
        <v>48</v>
      </c>
    </row>
    <row r="17" spans="2:21" x14ac:dyDescent="0.3">
      <c r="B17" s="2" t="s">
        <v>14</v>
      </c>
      <c r="C17" s="6" t="s">
        <v>53</v>
      </c>
      <c r="D17" s="2" t="s">
        <v>30</v>
      </c>
      <c r="E17" s="2" t="s">
        <v>33</v>
      </c>
      <c r="F17" s="2" t="s">
        <v>10</v>
      </c>
      <c r="G17" s="2">
        <v>10</v>
      </c>
      <c r="H17" s="2">
        <v>4.7</v>
      </c>
      <c r="I17" s="2">
        <v>1608</v>
      </c>
      <c r="J17" s="2">
        <v>231</v>
      </c>
      <c r="K17" s="2">
        <v>85</v>
      </c>
      <c r="L17" s="5">
        <v>291</v>
      </c>
      <c r="M17" s="5">
        <f t="shared" si="0"/>
        <v>29.1</v>
      </c>
      <c r="N17" s="7">
        <f t="shared" si="1"/>
        <v>58.2</v>
      </c>
      <c r="O17" s="7">
        <f t="shared" si="2"/>
        <v>145.5</v>
      </c>
      <c r="P17" s="7">
        <f t="shared" si="3"/>
        <v>192.06</v>
      </c>
      <c r="Q17" s="7">
        <f t="shared" si="4"/>
        <v>69.84</v>
      </c>
      <c r="R17" s="7">
        <f t="shared" si="5"/>
        <v>192.06</v>
      </c>
      <c r="S17" s="7">
        <f t="shared" si="6"/>
        <v>220.86899999999997</v>
      </c>
      <c r="T17" s="5">
        <f t="shared" si="7"/>
        <v>5.82</v>
      </c>
      <c r="U17" s="2" t="s">
        <v>48</v>
      </c>
    </row>
    <row r="18" spans="2:21" x14ac:dyDescent="0.3">
      <c r="B18" s="2" t="s">
        <v>14</v>
      </c>
      <c r="C18" s="6" t="s">
        <v>53</v>
      </c>
      <c r="D18" s="2" t="s">
        <v>31</v>
      </c>
      <c r="E18" s="2" t="s">
        <v>34</v>
      </c>
      <c r="F18" s="2" t="s">
        <v>11</v>
      </c>
      <c r="G18" s="2">
        <v>5</v>
      </c>
      <c r="H18" s="2">
        <v>10</v>
      </c>
      <c r="I18" s="2">
        <v>1608</v>
      </c>
      <c r="J18" s="2">
        <v>231</v>
      </c>
      <c r="K18" s="2">
        <v>85</v>
      </c>
      <c r="L18" s="5">
        <v>255</v>
      </c>
      <c r="M18" s="5">
        <f t="shared" si="0"/>
        <v>51</v>
      </c>
      <c r="N18" s="7">
        <f t="shared" si="1"/>
        <v>51</v>
      </c>
      <c r="O18" s="7">
        <f t="shared" si="2"/>
        <v>127.5</v>
      </c>
      <c r="P18" s="7">
        <f t="shared" si="3"/>
        <v>168.3</v>
      </c>
      <c r="Q18" s="7">
        <f t="shared" si="4"/>
        <v>61.199999999999996</v>
      </c>
      <c r="R18" s="7">
        <f t="shared" si="5"/>
        <v>168.3</v>
      </c>
      <c r="S18" s="7">
        <f t="shared" si="6"/>
        <v>193.54499999999999</v>
      </c>
      <c r="T18" s="5">
        <f t="shared" si="7"/>
        <v>10.199999999999999</v>
      </c>
      <c r="U18" s="2" t="s">
        <v>49</v>
      </c>
    </row>
    <row r="19" spans="2:21" x14ac:dyDescent="0.3">
      <c r="B19" s="2" t="s">
        <v>15</v>
      </c>
      <c r="C19" s="6" t="s">
        <v>54</v>
      </c>
      <c r="D19" s="2" t="s">
        <v>29</v>
      </c>
      <c r="E19" s="2" t="s">
        <v>35</v>
      </c>
      <c r="F19" s="2" t="s">
        <v>10</v>
      </c>
      <c r="G19" s="2">
        <v>20</v>
      </c>
      <c r="H19" s="2">
        <v>47</v>
      </c>
      <c r="I19" s="2">
        <v>1005</v>
      </c>
      <c r="J19" s="2" t="s">
        <v>56</v>
      </c>
      <c r="K19" s="2">
        <v>85</v>
      </c>
      <c r="L19" s="5">
        <v>192</v>
      </c>
      <c r="M19" s="5">
        <f t="shared" si="0"/>
        <v>9.6</v>
      </c>
      <c r="N19" s="7">
        <f t="shared" si="1"/>
        <v>38.400000000000006</v>
      </c>
      <c r="O19" s="7">
        <f t="shared" si="2"/>
        <v>96</v>
      </c>
      <c r="P19" s="7">
        <f t="shared" si="3"/>
        <v>126.72</v>
      </c>
      <c r="Q19" s="7">
        <f t="shared" si="4"/>
        <v>46.080000000000005</v>
      </c>
      <c r="R19" s="7">
        <f t="shared" si="5"/>
        <v>126.72</v>
      </c>
      <c r="S19" s="7">
        <f t="shared" si="6"/>
        <v>145.72799999999998</v>
      </c>
      <c r="T19" s="5">
        <f t="shared" si="7"/>
        <v>1.9200000000000004</v>
      </c>
      <c r="U19" s="2" t="s">
        <v>49</v>
      </c>
    </row>
    <row r="20" spans="2:21" x14ac:dyDescent="0.3">
      <c r="B20" s="2" t="s">
        <v>15</v>
      </c>
      <c r="C20" s="6" t="s">
        <v>54</v>
      </c>
      <c r="D20" s="2" t="s">
        <v>30</v>
      </c>
      <c r="E20" s="2" t="s">
        <v>36</v>
      </c>
      <c r="F20" s="2" t="s">
        <v>10</v>
      </c>
      <c r="G20" s="2">
        <v>10</v>
      </c>
      <c r="H20" s="2">
        <v>4.7</v>
      </c>
      <c r="I20" s="2">
        <v>1608</v>
      </c>
      <c r="J20" s="2" t="s">
        <v>56</v>
      </c>
      <c r="K20" s="2">
        <v>85</v>
      </c>
      <c r="L20" s="5">
        <v>195</v>
      </c>
      <c r="M20" s="5">
        <f t="shared" si="0"/>
        <v>19.5</v>
      </c>
      <c r="N20" s="7">
        <f t="shared" si="1"/>
        <v>39</v>
      </c>
      <c r="O20" s="7">
        <f t="shared" si="2"/>
        <v>97.5</v>
      </c>
      <c r="P20" s="7">
        <f t="shared" si="3"/>
        <v>128.70000000000002</v>
      </c>
      <c r="Q20" s="7">
        <f t="shared" si="4"/>
        <v>46.8</v>
      </c>
      <c r="R20" s="7">
        <f t="shared" si="5"/>
        <v>128.70000000000002</v>
      </c>
      <c r="S20" s="7">
        <f t="shared" si="6"/>
        <v>148.005</v>
      </c>
      <c r="T20" s="5">
        <f t="shared" si="7"/>
        <v>3.9</v>
      </c>
      <c r="U20" s="2" t="s">
        <v>49</v>
      </c>
    </row>
    <row r="21" spans="2:21" x14ac:dyDescent="0.3">
      <c r="B21" s="2" t="s">
        <v>15</v>
      </c>
      <c r="C21" s="6" t="s">
        <v>54</v>
      </c>
      <c r="D21" s="2" t="s">
        <v>31</v>
      </c>
      <c r="E21" s="2" t="s">
        <v>37</v>
      </c>
      <c r="F21" s="2" t="s">
        <v>11</v>
      </c>
      <c r="G21" s="2">
        <v>5</v>
      </c>
      <c r="H21" s="2">
        <v>10</v>
      </c>
      <c r="I21" s="2">
        <v>1608</v>
      </c>
      <c r="J21" s="2">
        <v>231</v>
      </c>
      <c r="K21" s="2">
        <v>85</v>
      </c>
      <c r="L21" s="5">
        <v>111</v>
      </c>
      <c r="M21" s="5">
        <f t="shared" si="0"/>
        <v>22.2</v>
      </c>
      <c r="N21" s="7">
        <f t="shared" si="1"/>
        <v>22.200000000000003</v>
      </c>
      <c r="O21" s="7">
        <f t="shared" si="2"/>
        <v>55.5</v>
      </c>
      <c r="P21" s="7">
        <f t="shared" si="3"/>
        <v>73.260000000000005</v>
      </c>
      <c r="Q21" s="7">
        <f t="shared" si="4"/>
        <v>26.640000000000004</v>
      </c>
      <c r="R21" s="7">
        <f t="shared" si="5"/>
        <v>73.260000000000005</v>
      </c>
      <c r="S21" s="7">
        <f t="shared" si="6"/>
        <v>84.248999999999995</v>
      </c>
      <c r="T21" s="5">
        <f t="shared" si="7"/>
        <v>4.4400000000000004</v>
      </c>
      <c r="U21" s="2" t="s">
        <v>48</v>
      </c>
    </row>
    <row r="22" spans="2:21" x14ac:dyDescent="0.3">
      <c r="B22" s="2" t="s">
        <v>15</v>
      </c>
      <c r="C22" s="6" t="s">
        <v>55</v>
      </c>
      <c r="D22" s="2" t="s">
        <v>29</v>
      </c>
      <c r="E22" s="2" t="s">
        <v>38</v>
      </c>
      <c r="F22" s="2" t="s">
        <v>10</v>
      </c>
      <c r="G22" s="2">
        <v>20</v>
      </c>
      <c r="H22" s="2">
        <v>47</v>
      </c>
      <c r="I22" s="2">
        <v>1005</v>
      </c>
      <c r="J22" s="2">
        <v>231</v>
      </c>
      <c r="K22" s="2">
        <v>95</v>
      </c>
      <c r="L22" s="5">
        <v>99</v>
      </c>
      <c r="M22" s="5">
        <f t="shared" si="0"/>
        <v>4.95</v>
      </c>
      <c r="N22" s="7">
        <f t="shared" si="1"/>
        <v>19.8</v>
      </c>
      <c r="O22" s="7">
        <f t="shared" si="2"/>
        <v>49.5</v>
      </c>
      <c r="P22" s="7">
        <f t="shared" si="3"/>
        <v>65.34</v>
      </c>
      <c r="Q22" s="7">
        <f t="shared" si="4"/>
        <v>23.76</v>
      </c>
      <c r="R22" s="7">
        <f t="shared" si="5"/>
        <v>65.34</v>
      </c>
      <c r="S22" s="7">
        <f t="shared" si="6"/>
        <v>75.140999999999991</v>
      </c>
      <c r="T22" s="5">
        <f t="shared" si="7"/>
        <v>0.99</v>
      </c>
      <c r="U22" s="2" t="s">
        <v>49</v>
      </c>
    </row>
    <row r="23" spans="2:21" x14ac:dyDescent="0.3">
      <c r="B23" s="2" t="s">
        <v>15</v>
      </c>
      <c r="C23" s="6" t="s">
        <v>55</v>
      </c>
      <c r="D23" s="2" t="s">
        <v>30</v>
      </c>
      <c r="E23" s="2" t="s">
        <v>39</v>
      </c>
      <c r="F23" s="2" t="s">
        <v>10</v>
      </c>
      <c r="G23" s="2">
        <v>10</v>
      </c>
      <c r="H23" s="2">
        <v>4.7</v>
      </c>
      <c r="I23" s="2">
        <v>1608</v>
      </c>
      <c r="J23" s="2">
        <v>231</v>
      </c>
      <c r="K23" s="2">
        <v>95</v>
      </c>
      <c r="L23" s="5">
        <v>521</v>
      </c>
      <c r="M23" s="5">
        <f t="shared" si="0"/>
        <v>52.1</v>
      </c>
      <c r="N23" s="7">
        <f t="shared" si="1"/>
        <v>104.2</v>
      </c>
      <c r="O23" s="7">
        <f t="shared" si="2"/>
        <v>260.5</v>
      </c>
      <c r="P23" s="7">
        <f t="shared" si="3"/>
        <v>343.86</v>
      </c>
      <c r="Q23" s="7">
        <f t="shared" si="4"/>
        <v>125.03999999999999</v>
      </c>
      <c r="R23" s="7">
        <f t="shared" si="5"/>
        <v>343.86</v>
      </c>
      <c r="S23" s="7">
        <f t="shared" si="6"/>
        <v>395.43899999999996</v>
      </c>
      <c r="T23" s="5">
        <f t="shared" si="7"/>
        <v>10.42</v>
      </c>
      <c r="U23" s="2" t="s">
        <v>49</v>
      </c>
    </row>
    <row r="24" spans="2:21" x14ac:dyDescent="0.3">
      <c r="B24" s="2" t="s">
        <v>15</v>
      </c>
      <c r="C24" s="6" t="s">
        <v>55</v>
      </c>
      <c r="D24" s="2" t="s">
        <v>31</v>
      </c>
      <c r="E24" s="2">
        <v>5</v>
      </c>
      <c r="F24" s="2" t="s">
        <v>11</v>
      </c>
      <c r="G24" s="2">
        <v>5</v>
      </c>
      <c r="H24" s="2">
        <v>10</v>
      </c>
      <c r="I24" s="2">
        <v>1608</v>
      </c>
      <c r="J24" s="2">
        <v>231</v>
      </c>
      <c r="K24" s="2">
        <v>95</v>
      </c>
      <c r="L24" s="5">
        <v>1080</v>
      </c>
      <c r="M24" s="5">
        <f t="shared" si="0"/>
        <v>216</v>
      </c>
      <c r="N24" s="7">
        <f t="shared" si="1"/>
        <v>216</v>
      </c>
      <c r="O24" s="7">
        <f t="shared" si="2"/>
        <v>540</v>
      </c>
      <c r="P24" s="7">
        <f t="shared" si="3"/>
        <v>712.80000000000007</v>
      </c>
      <c r="Q24" s="7">
        <f t="shared" si="4"/>
        <v>259.2</v>
      </c>
      <c r="R24" s="7">
        <f t="shared" si="5"/>
        <v>712.80000000000007</v>
      </c>
      <c r="S24" s="7">
        <f t="shared" si="6"/>
        <v>819.72</v>
      </c>
      <c r="T24" s="5">
        <f t="shared" si="7"/>
        <v>43.2</v>
      </c>
      <c r="U24" s="2" t="s">
        <v>49</v>
      </c>
    </row>
  </sheetData>
  <mergeCells count="9">
    <mergeCell ref="B2:K2"/>
    <mergeCell ref="N3:P3"/>
    <mergeCell ref="Q3:S3"/>
    <mergeCell ref="T4:T5"/>
    <mergeCell ref="U4:U5"/>
    <mergeCell ref="L4:M4"/>
    <mergeCell ref="B4:K4"/>
    <mergeCell ref="N4:P4"/>
    <mergeCell ref="Q4:S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BDV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2026-09-29T02:02:05Z</dcterms:created>
  <dcterms:modified xsi:type="dcterms:W3CDTF">2026-09-30T01:45:33Z</dcterms:modified>
</cp:coreProperties>
</file>