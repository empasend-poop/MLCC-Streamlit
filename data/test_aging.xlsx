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B35754D-75C6-4A1C-853F-02A5D1178BBA}" xr6:coauthVersionLast="47" xr6:coauthVersionMax="47" xr10:uidLastSave="{00000000-0000-0000-0000-000000000000}"/>
  <bookViews>
    <workbookView xWindow="-120" yWindow="-120" windowWidth="29040" windowHeight="15720" xr2:uid="{DD21264B-7F4D-4808-A1EE-9D5B44D53BA3}"/>
  </bookViews>
  <sheets>
    <sheet name="Aging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23" i="3" l="1"/>
  <c r="AF23" i="3" s="1"/>
  <c r="AC23" i="3"/>
  <c r="AD23" i="3" s="1"/>
  <c r="AE22" i="3"/>
  <c r="AF22" i="3" s="1"/>
  <c r="AC18" i="3"/>
  <c r="AD18" i="3" s="1"/>
  <c r="AC22" i="3"/>
  <c r="AD22" i="3" s="1"/>
  <c r="AA22" i="3"/>
  <c r="AE21" i="3"/>
  <c r="AF21" i="3" s="1"/>
  <c r="AC21" i="3"/>
  <c r="AD21" i="3" s="1"/>
  <c r="AB21" i="3"/>
  <c r="AA21" i="3"/>
  <c r="AE20" i="3"/>
  <c r="AF20" i="3" s="1"/>
  <c r="AC20" i="3"/>
  <c r="AD20" i="3" s="1"/>
  <c r="AB20" i="3"/>
  <c r="AA20" i="3"/>
  <c r="AE18" i="3"/>
  <c r="AF18" i="3" s="1"/>
  <c r="AB18" i="3"/>
  <c r="AA18" i="3"/>
  <c r="AE17" i="3"/>
  <c r="AF17" i="3" s="1"/>
  <c r="AC17" i="3"/>
  <c r="AD17" i="3" s="1"/>
  <c r="AB17" i="3"/>
  <c r="AA17" i="3"/>
  <c r="AE16" i="3"/>
  <c r="AF16" i="3" s="1"/>
  <c r="AC16" i="3"/>
  <c r="AD16" i="3" s="1"/>
  <c r="AB16" i="3"/>
  <c r="AA16" i="3"/>
  <c r="AE15" i="3"/>
  <c r="AF15" i="3" s="1"/>
  <c r="AC15" i="3"/>
  <c r="AD15" i="3" s="1"/>
  <c r="AB15" i="3"/>
  <c r="AA15" i="3"/>
  <c r="AE14" i="3"/>
  <c r="AF14" i="3" s="1"/>
  <c r="AC14" i="3"/>
  <c r="AD14" i="3" s="1"/>
  <c r="AB14" i="3"/>
  <c r="AA14" i="3"/>
  <c r="AE13" i="3"/>
  <c r="AF13" i="3" s="1"/>
  <c r="AC13" i="3"/>
  <c r="AD13" i="3" s="1"/>
  <c r="AB13" i="3"/>
  <c r="AA13" i="3"/>
  <c r="AE12" i="3"/>
  <c r="AF12" i="3" s="1"/>
  <c r="AC12" i="3"/>
  <c r="AD12" i="3" s="1"/>
  <c r="AB12" i="3"/>
  <c r="AA12" i="3"/>
  <c r="AE11" i="3"/>
  <c r="AF11" i="3" s="1"/>
  <c r="AC11" i="3"/>
  <c r="AD11" i="3" s="1"/>
  <c r="AB11" i="3"/>
  <c r="AA11" i="3"/>
  <c r="AE10" i="3"/>
  <c r="AF10" i="3" s="1"/>
  <c r="AC10" i="3"/>
  <c r="AD10" i="3" s="1"/>
  <c r="AB10" i="3"/>
  <c r="AA10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AE9" i="3"/>
  <c r="AF9" i="3" s="1"/>
  <c r="AC9" i="3"/>
  <c r="AD9" i="3" s="1"/>
  <c r="AB9" i="3"/>
  <c r="AA9" i="3"/>
  <c r="O9" i="3"/>
  <c r="AE8" i="3"/>
  <c r="AF8" i="3" s="1"/>
  <c r="AC8" i="3"/>
  <c r="AD8" i="3" s="1"/>
  <c r="AB8" i="3"/>
  <c r="AA8" i="3"/>
  <c r="O8" i="3"/>
  <c r="O7" i="3"/>
  <c r="AE7" i="3"/>
  <c r="AF7" i="3" s="1"/>
  <c r="AC7" i="3"/>
  <c r="AD7" i="3" s="1"/>
  <c r="AB7" i="3"/>
  <c r="AA7" i="3"/>
  <c r="AA23" i="3" l="1"/>
  <c r="AB23" i="3"/>
  <c r="AB22" i="3"/>
  <c r="AC24" i="3" l="1"/>
  <c r="AD24" i="3" s="1"/>
  <c r="AA24" i="3"/>
  <c r="AE19" i="3"/>
  <c r="AF19" i="3" s="1"/>
  <c r="AB19" i="3"/>
  <c r="AB24" i="3"/>
  <c r="AE24" i="3"/>
  <c r="AF24" i="3" s="1"/>
  <c r="AC19" i="3"/>
  <c r="AD19" i="3" s="1"/>
  <c r="AA19" i="3"/>
</calcChain>
</file>

<file path=xl/sharedStrings.xml><?xml version="1.0" encoding="utf-8"?>
<sst xmlns="http://schemas.openxmlformats.org/spreadsheetml/2006/main" count="126" uniqueCount="55">
  <si>
    <t>부품사</t>
    <phoneticPr fontId="1" type="noConversion"/>
  </si>
  <si>
    <t>자재코드</t>
    <phoneticPr fontId="1" type="noConversion"/>
  </si>
  <si>
    <t>태양유전</t>
    <phoneticPr fontId="1" type="noConversion"/>
  </si>
  <si>
    <t>무라타</t>
    <phoneticPr fontId="1" type="noConversion"/>
  </si>
  <si>
    <t>삼성전기</t>
    <phoneticPr fontId="1" type="noConversion"/>
  </si>
  <si>
    <t>2203-008953</t>
    <phoneticPr fontId="1" type="noConversion"/>
  </si>
  <si>
    <t>2203-007317</t>
    <phoneticPr fontId="1" type="noConversion"/>
  </si>
  <si>
    <t>2203-010255</t>
    <phoneticPr fontId="1" type="noConversion"/>
  </si>
  <si>
    <t>부품사코드</t>
    <phoneticPr fontId="1" type="noConversion"/>
  </si>
  <si>
    <t>Grade</t>
    <phoneticPr fontId="1" type="noConversion"/>
  </si>
  <si>
    <t>정격전압(V)</t>
    <phoneticPr fontId="1" type="noConversion"/>
  </si>
  <si>
    <t>정격용량(uF)</t>
    <phoneticPr fontId="1" type="noConversion"/>
  </si>
  <si>
    <t>Size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</si>
  <si>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</si>
  <si>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</si>
  <si>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</si>
  <si>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</si>
  <si>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</si>
  <si>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</si>
  <si>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</si>
  <si>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</si>
  <si>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</si>
  <si>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X5R</t>
    <phoneticPr fontId="1" type="noConversion"/>
  </si>
  <si>
    <t>X6S</t>
    <phoneticPr fontId="1" type="noConversion"/>
  </si>
  <si>
    <t>시험전압</t>
    <phoneticPr fontId="1" type="noConversion"/>
  </si>
  <si>
    <t>시험온도</t>
    <phoneticPr fontId="1" type="noConversion"/>
  </si>
  <si>
    <t>① 25℃, 0V</t>
    <phoneticPr fontId="1" type="noConversion"/>
  </si>
  <si>
    <t>③ 고온+DC Bias</t>
    <phoneticPr fontId="1" type="noConversion"/>
  </si>
  <si>
    <t>△C 
(①-③)/①</t>
    <phoneticPr fontId="1" type="noConversion"/>
  </si>
  <si>
    <t>24hr</t>
    <phoneticPr fontId="1" type="noConversion"/>
  </si>
  <si>
    <t>48hr</t>
    <phoneticPr fontId="1" type="noConversion"/>
  </si>
  <si>
    <t>72hr</t>
    <phoneticPr fontId="1" type="noConversion"/>
  </si>
  <si>
    <t>96hr</t>
    <phoneticPr fontId="1" type="noConversion"/>
  </si>
  <si>
    <t>200hr</t>
    <phoneticPr fontId="1" type="noConversion"/>
  </si>
  <si>
    <t>500hr</t>
    <phoneticPr fontId="1" type="noConversion"/>
  </si>
  <si>
    <t>1,000hr</t>
    <phoneticPr fontId="1" type="noConversion"/>
  </si>
  <si>
    <t>8,760hr</t>
    <phoneticPr fontId="1" type="noConversion"/>
  </si>
  <si>
    <t>43,800hr</t>
    <phoneticPr fontId="1" type="noConversion"/>
  </si>
  <si>
    <t>61,320hr</t>
    <phoneticPr fontId="1" type="noConversion"/>
  </si>
  <si>
    <t>87,600hr</t>
    <phoneticPr fontId="1" type="noConversion"/>
  </si>
  <si>
    <t>10년
(-20%반영)</t>
    <phoneticPr fontId="1" type="noConversion"/>
  </si>
  <si>
    <t>7년 
(-20%반영)</t>
    <phoneticPr fontId="1" type="noConversion"/>
  </si>
  <si>
    <t>업데이트일자</t>
    <phoneticPr fontId="1" type="noConversion"/>
  </si>
  <si>
    <t>결정계수 (R^2)</t>
    <phoneticPr fontId="1" type="noConversion"/>
  </si>
  <si>
    <t>MLCC 및 평가정보</t>
    <phoneticPr fontId="1" type="noConversion"/>
  </si>
  <si>
    <t>Aging 평가기반, 시간경과에 따른 잔여용량</t>
    <phoneticPr fontId="1" type="noConversion"/>
  </si>
  <si>
    <t>7년
잔여율</t>
    <phoneticPr fontId="1" type="noConversion"/>
  </si>
  <si>
    <t>7년
감소율</t>
    <phoneticPr fontId="1" type="noConversion"/>
  </si>
  <si>
    <t>10년
잔여율</t>
    <phoneticPr fontId="1" type="noConversion"/>
  </si>
  <si>
    <t>10년
감소율</t>
    <phoneticPr fontId="1" type="noConversion"/>
  </si>
  <si>
    <t>평가결과 요약</t>
    <phoneticPr fontId="1" type="noConversion"/>
  </si>
  <si>
    <t>2026.06.04</t>
    <phoneticPr fontId="1" type="noConversion"/>
  </si>
  <si>
    <t>2026.08.11</t>
    <phoneticPr fontId="1" type="noConversion"/>
  </si>
  <si>
    <t>②고온+No Bias</t>
    <phoneticPr fontId="1" type="noConversion"/>
  </si>
  <si>
    <t xml:space="preserve">Aging dashboard 요구사항
1. 부품사 -&gt; 자재코드 -&gt; 사용전압(V) 순으로 선택 가능하게끔 
2. 1번 선택 이후 excel에 있는 데이터를 깔끔하게 정보표현
3. 'Aging평가 기반, 시간경과에 따른 잔여용량'에 따라 시간에 따른 그래프 표현 (회귀분석 및 외삽법 활용)
4. 부품사 간 동일한 자재코드 수명비교 그래프 추가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</si>
</sst>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972E9-C86A-4F45-BBA1-030368046B35}">
  <dimension ref="B3:AG24"/>
  <sheetViews>
    <sheetView showGridLines="0" tabSelected="1" zoomScaleNormal="100" workbookViewId="0">
      <selection activeCell="B4" sqref="B4"/>
    </sheetView>
  </sheetViews>
  <sheetFormatPr defaultRowHeight="16.5" x14ac:dyDescent="0.3"/>
  <cols>
    <col min="1" max="1" width="4.375" style="1" customWidth="1"/>
    <col min="2" max="2" width="13" style="1" bestFit="1" customWidth="1"/>
    <col min="3" max="3" width="13.125" style="1" bestFit="1" customWidth="1"/>
    <col min="4" max="11" width="11.875" style="1" customWidth="1"/>
    <col min="12" max="12" width="12.125" style="1" customWidth="1"/>
    <col min="13" max="14" width="15.5" style="1" bestFit="1" customWidth="1"/>
    <col min="15" max="15" width="14" style="1" bestFit="1" customWidth="1"/>
    <col min="16" max="26" width="8.5" style="1" customWidth="1"/>
    <col min="27" max="28" width="11.875" style="1" customWidth="1"/>
    <col min="29" max="32" width="10" style="1" customWidth="1"/>
    <col min="33" max="33" width="14" style="1" customWidth="1"/>
    <col min="34" max="16384" width="9" style="1"/>
  </cols>
  <sheetData>
    <row r="3" spans="2:33" ht="129" customHeight="1" x14ac:dyDescent="0.3">
      <c r="B3" s="10" t="s">
        <v>54</v>
      </c>
      <c r="C3" s="10"/>
      <c r="D3" s="10"/>
      <c r="E3" s="10"/>
      <c r="F3" s="10"/>
      <c r="G3" s="10"/>
      <c r="H3" s="10"/>
      <c r="I3" s="10"/>
      <c r="J3" s="10"/>
      <c r="K3" s="10"/>
    </row>
    <row r="5" spans="2:33" x14ac:dyDescent="0.3">
      <c r="B5" s="7" t="s">
        <v>44</v>
      </c>
      <c r="C5" s="8"/>
      <c r="D5" s="8"/>
      <c r="E5" s="8"/>
      <c r="F5" s="8"/>
      <c r="G5" s="8"/>
      <c r="H5" s="8"/>
      <c r="I5" s="8"/>
      <c r="J5" s="8"/>
      <c r="K5" s="9"/>
      <c r="L5" s="7" t="s">
        <v>45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9"/>
      <c r="AA5" s="7" t="s">
        <v>50</v>
      </c>
      <c r="AB5" s="8"/>
      <c r="AC5" s="8"/>
      <c r="AD5" s="8"/>
      <c r="AE5" s="8"/>
      <c r="AF5" s="8"/>
      <c r="AG5" s="9"/>
    </row>
    <row r="6" spans="2:33" ht="33" x14ac:dyDescent="0.3">
      <c r="B6" s="3" t="s">
        <v>42</v>
      </c>
      <c r="C6" s="3" t="s">
        <v>1</v>
      </c>
      <c r="D6" s="3" t="s">
        <v>0</v>
      </c>
      <c r="E6" s="3" t="s">
        <v>8</v>
      </c>
      <c r="F6" s="3" t="s">
        <v>9</v>
      </c>
      <c r="G6" s="3" t="s">
        <v>10</v>
      </c>
      <c r="H6" s="3" t="s">
        <v>11</v>
      </c>
      <c r="I6" s="3" t="s">
        <v>12</v>
      </c>
      <c r="J6" s="3" t="s">
        <v>24</v>
      </c>
      <c r="K6" s="3" t="s">
        <v>25</v>
      </c>
      <c r="L6" s="3" t="s">
        <v>26</v>
      </c>
      <c r="M6" s="3" t="s">
        <v>53</v>
      </c>
      <c r="N6" s="3" t="s">
        <v>27</v>
      </c>
      <c r="O6" s="4" t="s">
        <v>28</v>
      </c>
      <c r="P6" s="3" t="s">
        <v>29</v>
      </c>
      <c r="Q6" s="3" t="s">
        <v>30</v>
      </c>
      <c r="R6" s="3" t="s">
        <v>31</v>
      </c>
      <c r="S6" s="3" t="s">
        <v>32</v>
      </c>
      <c r="T6" s="3" t="s">
        <v>33</v>
      </c>
      <c r="U6" s="3" t="s">
        <v>34</v>
      </c>
      <c r="V6" s="3" t="s">
        <v>35</v>
      </c>
      <c r="W6" s="3" t="s">
        <v>36</v>
      </c>
      <c r="X6" s="3" t="s">
        <v>37</v>
      </c>
      <c r="Y6" s="3" t="s">
        <v>38</v>
      </c>
      <c r="Z6" s="3" t="s">
        <v>39</v>
      </c>
      <c r="AA6" s="4" t="s">
        <v>41</v>
      </c>
      <c r="AB6" s="4" t="s">
        <v>40</v>
      </c>
      <c r="AC6" s="4" t="s">
        <v>46</v>
      </c>
      <c r="AD6" s="4" t="s">
        <v>47</v>
      </c>
      <c r="AE6" s="4" t="s">
        <v>48</v>
      </c>
      <c r="AF6" s="4" t="s">
        <v>49</v>
      </c>
      <c r="AG6" s="4" t="s">
        <v>43</v>
      </c>
    </row>
    <row r="7" spans="2:33" x14ac:dyDescent="0.3">
      <c r="B7" s="2" t="s">
        <v>51</v>
      </c>
      <c r="C7" s="2" t="s">
        <v>6</v>
      </c>
      <c r="D7" s="2" t="s">
        <v>2</v>
      </c>
      <c r="E7" s="2" t="s">
        <v>13</v>
      </c>
      <c r="F7" s="2" t="s">
        <v>22</v>
      </c>
      <c r="G7" s="2">
        <v>6.3</v>
      </c>
      <c r="H7" s="2">
        <v>47</v>
      </c>
      <c r="I7" s="2">
        <v>1005</v>
      </c>
      <c r="J7" s="2">
        <v>1.8</v>
      </c>
      <c r="K7" s="2">
        <v>85</v>
      </c>
      <c r="L7" s="6">
        <v>2.1</v>
      </c>
      <c r="M7" s="6">
        <v>1.7</v>
      </c>
      <c r="N7" s="6">
        <v>0.6</v>
      </c>
      <c r="O7" s="5">
        <f>-((L7-N7)/L7)</f>
        <v>-0.7142857142857143</v>
      </c>
      <c r="P7" s="6">
        <v>0.51</v>
      </c>
      <c r="Q7" s="6">
        <v>0.51</v>
      </c>
      <c r="R7" s="6">
        <v>0.51</v>
      </c>
      <c r="S7" s="6">
        <v>0.5</v>
      </c>
      <c r="T7" s="6">
        <v>0.49</v>
      </c>
      <c r="U7" s="6">
        <v>0.49</v>
      </c>
      <c r="V7" s="6">
        <v>0.49</v>
      </c>
      <c r="W7" s="6">
        <v>0.49</v>
      </c>
      <c r="X7" s="6">
        <v>0.49</v>
      </c>
      <c r="Y7" s="6">
        <v>0.49</v>
      </c>
      <c r="Z7" s="6">
        <v>0.49</v>
      </c>
      <c r="AA7" s="6">
        <f t="shared" ref="AA7:AB9" si="0">Y7*0.8</f>
        <v>0.39200000000000002</v>
      </c>
      <c r="AB7" s="6">
        <f t="shared" si="0"/>
        <v>0.39200000000000002</v>
      </c>
      <c r="AC7" s="5">
        <f>Y7/L7</f>
        <v>0.23333333333333331</v>
      </c>
      <c r="AD7" s="5">
        <f>-(1-AC7)</f>
        <v>-0.76666666666666672</v>
      </c>
      <c r="AE7" s="5">
        <f>Z7/L7</f>
        <v>0.23333333333333331</v>
      </c>
      <c r="AF7" s="5">
        <f>-(1-AE7)</f>
        <v>-0.76666666666666672</v>
      </c>
      <c r="AG7" s="6">
        <v>0.99</v>
      </c>
    </row>
    <row r="8" spans="2:33" x14ac:dyDescent="0.3">
      <c r="B8" s="2" t="s">
        <v>51</v>
      </c>
      <c r="C8" s="2" t="s">
        <v>5</v>
      </c>
      <c r="D8" s="2" t="s">
        <v>2</v>
      </c>
      <c r="E8" s="2" t="s">
        <v>14</v>
      </c>
      <c r="F8" s="2" t="s">
        <v>22</v>
      </c>
      <c r="G8" s="2">
        <v>4</v>
      </c>
      <c r="H8" s="2">
        <v>4.7</v>
      </c>
      <c r="I8" s="2">
        <v>1608</v>
      </c>
      <c r="J8" s="2">
        <v>2</v>
      </c>
      <c r="K8" s="2">
        <v>85</v>
      </c>
      <c r="L8" s="6">
        <v>1.8900000000000001</v>
      </c>
      <c r="M8" s="6">
        <v>1.53</v>
      </c>
      <c r="N8" s="6">
        <v>0.54</v>
      </c>
      <c r="O8" s="5">
        <f>-((L8-N8)/L8)</f>
        <v>-0.7142857142857143</v>
      </c>
      <c r="P8" s="6">
        <v>0.45900000000000002</v>
      </c>
      <c r="Q8" s="6">
        <v>0.45900000000000002</v>
      </c>
      <c r="R8" s="6">
        <v>0.45900000000000002</v>
      </c>
      <c r="S8" s="6">
        <v>0.45</v>
      </c>
      <c r="T8" s="6">
        <v>0.441</v>
      </c>
      <c r="U8" s="6">
        <v>0.441</v>
      </c>
      <c r="V8" s="6">
        <v>0.441</v>
      </c>
      <c r="W8" s="6">
        <v>0.441</v>
      </c>
      <c r="X8" s="6">
        <v>0.441</v>
      </c>
      <c r="Y8" s="6">
        <v>0.441</v>
      </c>
      <c r="Z8" s="6">
        <v>0.441</v>
      </c>
      <c r="AA8" s="6">
        <f t="shared" si="0"/>
        <v>0.3528</v>
      </c>
      <c r="AB8" s="6">
        <f t="shared" si="0"/>
        <v>0.3528</v>
      </c>
      <c r="AC8" s="5">
        <f>Y8/L8</f>
        <v>0.23333333333333331</v>
      </c>
      <c r="AD8" s="5">
        <f>-(1-AC8)</f>
        <v>-0.76666666666666672</v>
      </c>
      <c r="AE8" s="5">
        <f>Z8/L8</f>
        <v>0.23333333333333331</v>
      </c>
      <c r="AF8" s="5">
        <f>-(1-AE8)</f>
        <v>-0.76666666666666672</v>
      </c>
      <c r="AG8" s="6">
        <v>0.99</v>
      </c>
    </row>
    <row r="9" spans="2:33" x14ac:dyDescent="0.3">
      <c r="B9" s="2" t="s">
        <v>51</v>
      </c>
      <c r="C9" s="2" t="s">
        <v>7</v>
      </c>
      <c r="D9" s="2" t="s">
        <v>2</v>
      </c>
      <c r="E9" s="2" t="s">
        <v>15</v>
      </c>
      <c r="F9" s="2" t="s">
        <v>23</v>
      </c>
      <c r="G9" s="2">
        <v>10</v>
      </c>
      <c r="H9" s="2">
        <v>10</v>
      </c>
      <c r="I9" s="2">
        <v>1608</v>
      </c>
      <c r="J9" s="2">
        <v>5</v>
      </c>
      <c r="K9" s="2">
        <v>85</v>
      </c>
      <c r="L9" s="6">
        <v>6.4</v>
      </c>
      <c r="M9" s="6">
        <v>6</v>
      </c>
      <c r="N9" s="6">
        <v>4.8999999999999995</v>
      </c>
      <c r="O9" s="5">
        <f>-((L9-N9)/L9)</f>
        <v>-0.23437500000000014</v>
      </c>
      <c r="P9" s="6">
        <v>4.8099999999999996</v>
      </c>
      <c r="Q9" s="6">
        <v>4.8099999999999996</v>
      </c>
      <c r="R9" s="6">
        <v>4.8099999999999996</v>
      </c>
      <c r="S9" s="6">
        <v>4.8</v>
      </c>
      <c r="T9" s="6">
        <v>4.79</v>
      </c>
      <c r="U9" s="6">
        <v>4.79</v>
      </c>
      <c r="V9" s="6">
        <v>4.79</v>
      </c>
      <c r="W9" s="6">
        <v>4.79</v>
      </c>
      <c r="X9" s="6">
        <v>4.79</v>
      </c>
      <c r="Y9" s="6">
        <v>4.79</v>
      </c>
      <c r="Z9" s="6">
        <v>4.79</v>
      </c>
      <c r="AA9" s="6">
        <f t="shared" si="0"/>
        <v>3.8320000000000003</v>
      </c>
      <c r="AB9" s="6">
        <f t="shared" si="0"/>
        <v>3.8320000000000003</v>
      </c>
      <c r="AC9" s="5">
        <f>Y9/L9</f>
        <v>0.74843749999999998</v>
      </c>
      <c r="AD9" s="5">
        <f>-(1-AC9)</f>
        <v>-0.25156250000000002</v>
      </c>
      <c r="AE9" s="5">
        <f>Z9/L9</f>
        <v>0.74843749999999998</v>
      </c>
      <c r="AF9" s="5">
        <f>-(1-AE9)</f>
        <v>-0.25156250000000002</v>
      </c>
      <c r="AG9" s="6">
        <v>0.99</v>
      </c>
    </row>
    <row r="10" spans="2:33" x14ac:dyDescent="0.3">
      <c r="B10" s="2" t="s">
        <v>51</v>
      </c>
      <c r="C10" s="2" t="s">
        <v>6</v>
      </c>
      <c r="D10" s="2" t="s">
        <v>4</v>
      </c>
      <c r="E10" s="2" t="s">
        <v>16</v>
      </c>
      <c r="F10" s="2" t="s">
        <v>22</v>
      </c>
      <c r="G10" s="2">
        <v>6.3</v>
      </c>
      <c r="H10" s="2">
        <v>47</v>
      </c>
      <c r="I10" s="2">
        <v>1005</v>
      </c>
      <c r="J10" s="2">
        <v>1.5</v>
      </c>
      <c r="K10" s="2">
        <v>85</v>
      </c>
      <c r="L10" s="6">
        <v>4.3000000000000007</v>
      </c>
      <c r="M10" s="6">
        <v>3.9</v>
      </c>
      <c r="N10" s="6">
        <v>2.7999999999999994</v>
      </c>
      <c r="O10" s="5">
        <f t="shared" ref="O10:O24" si="1">-((L10-N10)/L10)</f>
        <v>-0.34883720930232581</v>
      </c>
      <c r="P10" s="6">
        <v>2.7099999999999995</v>
      </c>
      <c r="Q10" s="6">
        <v>2.7099999999999995</v>
      </c>
      <c r="R10" s="6">
        <v>2.7099999999999995</v>
      </c>
      <c r="S10" s="6">
        <v>2.6999999999999997</v>
      </c>
      <c r="T10" s="6">
        <v>2.69</v>
      </c>
      <c r="U10" s="6">
        <v>2.69</v>
      </c>
      <c r="V10" s="6">
        <v>2.69</v>
      </c>
      <c r="W10" s="6">
        <v>2.69</v>
      </c>
      <c r="X10" s="6">
        <v>2.69</v>
      </c>
      <c r="Y10" s="6">
        <v>2.69</v>
      </c>
      <c r="Z10" s="6">
        <v>2.69</v>
      </c>
      <c r="AA10" s="6">
        <f t="shared" ref="AA10:AA24" si="2">Y10*0.8</f>
        <v>2.1520000000000001</v>
      </c>
      <c r="AB10" s="6">
        <f t="shared" ref="AB10:AB24" si="3">Z10*0.8</f>
        <v>2.1520000000000001</v>
      </c>
      <c r="AC10" s="5">
        <f t="shared" ref="AC10:AC24" si="4">Y10/L10</f>
        <v>0.62558139534883705</v>
      </c>
      <c r="AD10" s="5">
        <f t="shared" ref="AD10:AD24" si="5">-(1-AC10)</f>
        <v>-0.37441860465116295</v>
      </c>
      <c r="AE10" s="5">
        <f t="shared" ref="AE10:AE24" si="6">Z10/L10</f>
        <v>0.62558139534883705</v>
      </c>
      <c r="AF10" s="5">
        <f t="shared" ref="AF10:AF24" si="7">-(1-AE10)</f>
        <v>-0.37441860465116295</v>
      </c>
      <c r="AG10" s="6">
        <v>0.99</v>
      </c>
    </row>
    <row r="11" spans="2:33" x14ac:dyDescent="0.3">
      <c r="B11" s="2" t="s">
        <v>51</v>
      </c>
      <c r="C11" s="2" t="s">
        <v>5</v>
      </c>
      <c r="D11" s="2" t="s">
        <v>4</v>
      </c>
      <c r="E11" s="2" t="s">
        <v>17</v>
      </c>
      <c r="F11" s="2" t="s">
        <v>22</v>
      </c>
      <c r="G11" s="2">
        <v>4</v>
      </c>
      <c r="H11" s="2">
        <v>4.7</v>
      </c>
      <c r="I11" s="2">
        <v>1608</v>
      </c>
      <c r="J11" s="2">
        <v>1.7</v>
      </c>
      <c r="K11" s="2">
        <v>85</v>
      </c>
      <c r="L11" s="6">
        <v>7.5000000000000009</v>
      </c>
      <c r="M11" s="6">
        <v>7.1</v>
      </c>
      <c r="N11" s="6">
        <v>6</v>
      </c>
      <c r="O11" s="5">
        <f t="shared" si="1"/>
        <v>-0.20000000000000009</v>
      </c>
      <c r="P11" s="6">
        <v>5.91</v>
      </c>
      <c r="Q11" s="6">
        <v>5.91</v>
      </c>
      <c r="R11" s="6">
        <v>5.91</v>
      </c>
      <c r="S11" s="6">
        <v>5.9</v>
      </c>
      <c r="T11" s="6">
        <v>5.8900000000000006</v>
      </c>
      <c r="U11" s="6">
        <v>5.8900000000000006</v>
      </c>
      <c r="V11" s="6">
        <v>5.8900000000000006</v>
      </c>
      <c r="W11" s="6">
        <v>5.8900000000000006</v>
      </c>
      <c r="X11" s="6">
        <v>5.8900000000000006</v>
      </c>
      <c r="Y11" s="6">
        <v>5.8900000000000006</v>
      </c>
      <c r="Z11" s="6">
        <v>5.8900000000000006</v>
      </c>
      <c r="AA11" s="6">
        <f t="shared" si="2"/>
        <v>4.7120000000000006</v>
      </c>
      <c r="AB11" s="6">
        <f t="shared" si="3"/>
        <v>4.7120000000000006</v>
      </c>
      <c r="AC11" s="5">
        <f t="shared" si="4"/>
        <v>0.78533333333333333</v>
      </c>
      <c r="AD11" s="5">
        <f t="shared" si="5"/>
        <v>-0.21466666666666667</v>
      </c>
      <c r="AE11" s="5">
        <f t="shared" si="6"/>
        <v>0.78533333333333333</v>
      </c>
      <c r="AF11" s="5">
        <f t="shared" si="7"/>
        <v>-0.21466666666666667</v>
      </c>
      <c r="AG11" s="6">
        <v>0.99</v>
      </c>
    </row>
    <row r="12" spans="2:33" x14ac:dyDescent="0.3">
      <c r="B12" s="2" t="s">
        <v>51</v>
      </c>
      <c r="C12" s="2" t="s">
        <v>7</v>
      </c>
      <c r="D12" s="2" t="s">
        <v>4</v>
      </c>
      <c r="E12" s="2" t="s">
        <v>18</v>
      </c>
      <c r="F12" s="2" t="s">
        <v>23</v>
      </c>
      <c r="G12" s="2">
        <v>10</v>
      </c>
      <c r="H12" s="2">
        <v>10</v>
      </c>
      <c r="I12" s="2">
        <v>1608</v>
      </c>
      <c r="J12" s="2">
        <v>4.7</v>
      </c>
      <c r="K12" s="2">
        <v>85</v>
      </c>
      <c r="L12" s="6">
        <v>17.5</v>
      </c>
      <c r="M12" s="6">
        <v>17.100000000000001</v>
      </c>
      <c r="N12" s="6">
        <v>16</v>
      </c>
      <c r="O12" s="5">
        <f t="shared" si="1"/>
        <v>-8.5714285714285715E-2</v>
      </c>
      <c r="P12" s="6">
        <v>15.91</v>
      </c>
      <c r="Q12" s="6">
        <v>15.91</v>
      </c>
      <c r="R12" s="6">
        <v>15.91</v>
      </c>
      <c r="S12" s="6">
        <v>15.9</v>
      </c>
      <c r="T12" s="6">
        <v>15.89</v>
      </c>
      <c r="U12" s="6">
        <v>15.89</v>
      </c>
      <c r="V12" s="6">
        <v>15.89</v>
      </c>
      <c r="W12" s="6">
        <v>15.89</v>
      </c>
      <c r="X12" s="6">
        <v>15.89</v>
      </c>
      <c r="Y12" s="6">
        <v>15.89</v>
      </c>
      <c r="Z12" s="6">
        <v>15.89</v>
      </c>
      <c r="AA12" s="6">
        <f t="shared" si="2"/>
        <v>12.712000000000002</v>
      </c>
      <c r="AB12" s="6">
        <f t="shared" si="3"/>
        <v>12.712000000000002</v>
      </c>
      <c r="AC12" s="5">
        <f t="shared" si="4"/>
        <v>0.90800000000000003</v>
      </c>
      <c r="AD12" s="5">
        <f t="shared" si="5"/>
        <v>-9.1999999999999971E-2</v>
      </c>
      <c r="AE12" s="5">
        <f t="shared" si="6"/>
        <v>0.90800000000000003</v>
      </c>
      <c r="AF12" s="5">
        <f t="shared" si="7"/>
        <v>-9.1999999999999971E-2</v>
      </c>
      <c r="AG12" s="6">
        <v>0.99</v>
      </c>
    </row>
    <row r="13" spans="2:33" x14ac:dyDescent="0.3">
      <c r="B13" s="2" t="s">
        <v>51</v>
      </c>
      <c r="C13" s="2" t="s">
        <v>6</v>
      </c>
      <c r="D13" s="2" t="s">
        <v>3</v>
      </c>
      <c r="E13" s="2" t="s">
        <v>19</v>
      </c>
      <c r="F13" s="2" t="s">
        <v>22</v>
      </c>
      <c r="G13" s="2">
        <v>6.3</v>
      </c>
      <c r="H13" s="2">
        <v>47</v>
      </c>
      <c r="I13" s="2">
        <v>1005</v>
      </c>
      <c r="J13" s="2">
        <v>1.2</v>
      </c>
      <c r="K13" s="2">
        <v>85</v>
      </c>
      <c r="L13" s="6">
        <v>25.1</v>
      </c>
      <c r="M13" s="6">
        <v>24.700000000000003</v>
      </c>
      <c r="N13" s="6">
        <v>23.6</v>
      </c>
      <c r="O13" s="5">
        <f t="shared" si="1"/>
        <v>-5.97609561752988E-2</v>
      </c>
      <c r="P13" s="6">
        <v>23.509999999999998</v>
      </c>
      <c r="Q13" s="6">
        <v>23.509999999999998</v>
      </c>
      <c r="R13" s="6">
        <v>23.509999999999998</v>
      </c>
      <c r="S13" s="6">
        <v>23.5</v>
      </c>
      <c r="T13" s="6">
        <v>23.490000000000002</v>
      </c>
      <c r="U13" s="6">
        <v>23.490000000000002</v>
      </c>
      <c r="V13" s="6">
        <v>23.490000000000002</v>
      </c>
      <c r="W13" s="6">
        <v>23.490000000000002</v>
      </c>
      <c r="X13" s="6">
        <v>23.490000000000002</v>
      </c>
      <c r="Y13" s="6">
        <v>23.490000000000002</v>
      </c>
      <c r="Z13" s="6">
        <v>23.490000000000002</v>
      </c>
      <c r="AA13" s="6">
        <f t="shared" si="2"/>
        <v>18.792000000000002</v>
      </c>
      <c r="AB13" s="6">
        <f t="shared" si="3"/>
        <v>18.792000000000002</v>
      </c>
      <c r="AC13" s="5">
        <f t="shared" si="4"/>
        <v>0.93585657370517927</v>
      </c>
      <c r="AD13" s="5">
        <f t="shared" si="5"/>
        <v>-6.4143426294820727E-2</v>
      </c>
      <c r="AE13" s="5">
        <f t="shared" si="6"/>
        <v>0.93585657370517927</v>
      </c>
      <c r="AF13" s="5">
        <f t="shared" si="7"/>
        <v>-6.4143426294820727E-2</v>
      </c>
      <c r="AG13" s="6">
        <v>0.99</v>
      </c>
    </row>
    <row r="14" spans="2:33" x14ac:dyDescent="0.3">
      <c r="B14" s="2" t="s">
        <v>51</v>
      </c>
      <c r="C14" s="2" t="s">
        <v>5</v>
      </c>
      <c r="D14" s="2" t="s">
        <v>3</v>
      </c>
      <c r="E14" s="2" t="s">
        <v>20</v>
      </c>
      <c r="F14" s="2" t="s">
        <v>22</v>
      </c>
      <c r="G14" s="2">
        <v>4</v>
      </c>
      <c r="H14" s="2">
        <v>4.7</v>
      </c>
      <c r="I14" s="2">
        <v>1608</v>
      </c>
      <c r="J14" s="2">
        <v>1.4</v>
      </c>
      <c r="K14" s="2">
        <v>85</v>
      </c>
      <c r="L14" s="6">
        <v>14.6333</v>
      </c>
      <c r="M14" s="6">
        <v>14.4001</v>
      </c>
      <c r="N14" s="6">
        <v>13.758800000000001</v>
      </c>
      <c r="O14" s="5">
        <f t="shared" si="1"/>
        <v>-5.9760956175298766E-2</v>
      </c>
      <c r="P14" s="6">
        <v>13.706329999999998</v>
      </c>
      <c r="Q14" s="6">
        <v>13.706329999999998</v>
      </c>
      <c r="R14" s="6">
        <v>13.706329999999998</v>
      </c>
      <c r="S14" s="6">
        <v>13.7005</v>
      </c>
      <c r="T14" s="6">
        <v>13.69467</v>
      </c>
      <c r="U14" s="6">
        <v>13.69467</v>
      </c>
      <c r="V14" s="6">
        <v>13.69467</v>
      </c>
      <c r="W14" s="6">
        <v>13.69467</v>
      </c>
      <c r="X14" s="6">
        <v>13.69467</v>
      </c>
      <c r="Y14" s="6">
        <v>13.69467</v>
      </c>
      <c r="Z14" s="6">
        <v>13.69467</v>
      </c>
      <c r="AA14" s="6">
        <f t="shared" si="2"/>
        <v>10.955736000000002</v>
      </c>
      <c r="AB14" s="6">
        <f t="shared" si="3"/>
        <v>10.955736000000002</v>
      </c>
      <c r="AC14" s="5">
        <f t="shared" si="4"/>
        <v>0.93585657370517927</v>
      </c>
      <c r="AD14" s="5">
        <f t="shared" si="5"/>
        <v>-6.4143426294820727E-2</v>
      </c>
      <c r="AE14" s="5">
        <f t="shared" si="6"/>
        <v>0.93585657370517927</v>
      </c>
      <c r="AF14" s="5">
        <f t="shared" si="7"/>
        <v>-6.4143426294820727E-2</v>
      </c>
      <c r="AG14" s="6">
        <v>0.96</v>
      </c>
    </row>
    <row r="15" spans="2:33" x14ac:dyDescent="0.3">
      <c r="B15" s="2" t="s">
        <v>51</v>
      </c>
      <c r="C15" s="2" t="s">
        <v>7</v>
      </c>
      <c r="D15" s="2" t="s">
        <v>3</v>
      </c>
      <c r="E15" s="2" t="s">
        <v>21</v>
      </c>
      <c r="F15" s="2" t="s">
        <v>23</v>
      </c>
      <c r="G15" s="2">
        <v>10</v>
      </c>
      <c r="H15" s="2">
        <v>10</v>
      </c>
      <c r="I15" s="2">
        <v>1608</v>
      </c>
      <c r="J15" s="2">
        <v>4.4000000000000004</v>
      </c>
      <c r="K15" s="2">
        <v>85</v>
      </c>
      <c r="L15" s="6">
        <v>18.933299999999999</v>
      </c>
      <c r="M15" s="6">
        <v>18.700099999999999</v>
      </c>
      <c r="N15" s="6">
        <v>18.058800000000002</v>
      </c>
      <c r="O15" s="5">
        <f t="shared" si="1"/>
        <v>-4.6188461599404103E-2</v>
      </c>
      <c r="P15" s="6">
        <v>18.006329999999998</v>
      </c>
      <c r="Q15" s="6">
        <v>18.006329999999998</v>
      </c>
      <c r="R15" s="6">
        <v>18.006329999999998</v>
      </c>
      <c r="S15" s="6">
        <v>18.000499999999999</v>
      </c>
      <c r="T15" s="6">
        <v>17.994669999999999</v>
      </c>
      <c r="U15" s="6">
        <v>17.994669999999999</v>
      </c>
      <c r="V15" s="6">
        <v>17.994669999999999</v>
      </c>
      <c r="W15" s="6">
        <v>17.994669999999999</v>
      </c>
      <c r="X15" s="6">
        <v>17.994669999999999</v>
      </c>
      <c r="Y15" s="6">
        <v>17.994669999999999</v>
      </c>
      <c r="Z15" s="6">
        <v>17.994669999999999</v>
      </c>
      <c r="AA15" s="6">
        <f t="shared" si="2"/>
        <v>14.395735999999999</v>
      </c>
      <c r="AB15" s="6">
        <f t="shared" si="3"/>
        <v>14.395735999999999</v>
      </c>
      <c r="AC15" s="5">
        <f t="shared" si="4"/>
        <v>0.9504243845499728</v>
      </c>
      <c r="AD15" s="5">
        <f t="shared" si="5"/>
        <v>-4.9575615450027199E-2</v>
      </c>
      <c r="AE15" s="5">
        <f t="shared" si="6"/>
        <v>0.9504243845499728</v>
      </c>
      <c r="AF15" s="5">
        <f t="shared" si="7"/>
        <v>-4.9575615450027199E-2</v>
      </c>
      <c r="AG15" s="6">
        <v>0.98</v>
      </c>
    </row>
    <row r="16" spans="2:33" x14ac:dyDescent="0.3">
      <c r="B16" s="2" t="s">
        <v>51</v>
      </c>
      <c r="C16" s="2" t="s">
        <v>6</v>
      </c>
      <c r="D16" s="2" t="s">
        <v>2</v>
      </c>
      <c r="E16" s="2" t="s">
        <v>13</v>
      </c>
      <c r="F16" s="2" t="s">
        <v>22</v>
      </c>
      <c r="G16" s="2">
        <v>6.3</v>
      </c>
      <c r="H16" s="2">
        <v>47</v>
      </c>
      <c r="I16" s="2">
        <v>1005</v>
      </c>
      <c r="J16" s="2">
        <v>0.89999999999999991</v>
      </c>
      <c r="K16" s="2">
        <v>85</v>
      </c>
      <c r="L16" s="6">
        <v>16.933299999999999</v>
      </c>
      <c r="M16" s="6">
        <v>16.700099999999999</v>
      </c>
      <c r="N16" s="6">
        <v>16.058800000000002</v>
      </c>
      <c r="O16" s="5">
        <f t="shared" si="1"/>
        <v>-5.1643802448429879E-2</v>
      </c>
      <c r="P16" s="6">
        <v>16.006329999999998</v>
      </c>
      <c r="Q16" s="6">
        <v>16.006329999999998</v>
      </c>
      <c r="R16" s="6">
        <v>16.006329999999998</v>
      </c>
      <c r="S16" s="6">
        <v>16.000499999999999</v>
      </c>
      <c r="T16" s="6">
        <v>15.994669999999999</v>
      </c>
      <c r="U16" s="6">
        <v>15.994669999999999</v>
      </c>
      <c r="V16" s="6">
        <v>15.994669999999999</v>
      </c>
      <c r="W16" s="6">
        <v>15.994669999999999</v>
      </c>
      <c r="X16" s="6">
        <v>15.994669999999999</v>
      </c>
      <c r="Y16" s="6">
        <v>15.994669999999999</v>
      </c>
      <c r="Z16" s="6">
        <v>15.994669999999999</v>
      </c>
      <c r="AA16" s="6">
        <f t="shared" si="2"/>
        <v>12.795736</v>
      </c>
      <c r="AB16" s="6">
        <f t="shared" si="3"/>
        <v>12.795736</v>
      </c>
      <c r="AC16" s="5">
        <f t="shared" si="4"/>
        <v>0.9445689853720185</v>
      </c>
      <c r="AD16" s="5">
        <f t="shared" si="5"/>
        <v>-5.5431014627981501E-2</v>
      </c>
      <c r="AE16" s="5">
        <f t="shared" si="6"/>
        <v>0.9445689853720185</v>
      </c>
      <c r="AF16" s="5">
        <f t="shared" si="7"/>
        <v>-5.5431014627981501E-2</v>
      </c>
      <c r="AG16" s="6">
        <v>0.85</v>
      </c>
    </row>
    <row r="17" spans="2:33" x14ac:dyDescent="0.3">
      <c r="B17" s="2" t="s">
        <v>51</v>
      </c>
      <c r="C17" s="2" t="s">
        <v>5</v>
      </c>
      <c r="D17" s="2" t="s">
        <v>2</v>
      </c>
      <c r="E17" s="2" t="s">
        <v>14</v>
      </c>
      <c r="F17" s="2" t="s">
        <v>22</v>
      </c>
      <c r="G17" s="2">
        <v>4</v>
      </c>
      <c r="H17" s="2">
        <v>4.7</v>
      </c>
      <c r="I17" s="2">
        <v>1608</v>
      </c>
      <c r="J17" s="2">
        <v>1.0999999999999999</v>
      </c>
      <c r="K17" s="2">
        <v>85</v>
      </c>
      <c r="L17" s="6">
        <v>21.433299999999999</v>
      </c>
      <c r="M17" s="6">
        <v>21.200099999999999</v>
      </c>
      <c r="N17" s="6">
        <v>20.558800000000002</v>
      </c>
      <c r="O17" s="5">
        <f t="shared" si="1"/>
        <v>-4.0800996580087887E-2</v>
      </c>
      <c r="P17" s="6">
        <v>20.506329999999998</v>
      </c>
      <c r="Q17" s="6">
        <v>20.506329999999998</v>
      </c>
      <c r="R17" s="6">
        <v>20.506329999999998</v>
      </c>
      <c r="S17" s="6">
        <v>20.500499999999999</v>
      </c>
      <c r="T17" s="6">
        <v>20.494669999999999</v>
      </c>
      <c r="U17" s="6">
        <v>20.494669999999999</v>
      </c>
      <c r="V17" s="6">
        <v>20.494669999999999</v>
      </c>
      <c r="W17" s="6">
        <v>20.494669999999999</v>
      </c>
      <c r="X17" s="6">
        <v>20.494669999999999</v>
      </c>
      <c r="Y17" s="6">
        <v>20.494669999999999</v>
      </c>
      <c r="Z17" s="6">
        <v>20.494669999999999</v>
      </c>
      <c r="AA17" s="6">
        <f t="shared" si="2"/>
        <v>16.395735999999999</v>
      </c>
      <c r="AB17" s="6">
        <f t="shared" si="3"/>
        <v>16.395735999999999</v>
      </c>
      <c r="AC17" s="5">
        <f t="shared" si="4"/>
        <v>0.95620693033737225</v>
      </c>
      <c r="AD17" s="5">
        <f t="shared" si="5"/>
        <v>-4.3793069662627748E-2</v>
      </c>
      <c r="AE17" s="5">
        <f t="shared" si="6"/>
        <v>0.95620693033737225</v>
      </c>
      <c r="AF17" s="5">
        <f t="shared" si="7"/>
        <v>-4.3793069662627748E-2</v>
      </c>
      <c r="AG17" s="6">
        <v>0.96</v>
      </c>
    </row>
    <row r="18" spans="2:33" x14ac:dyDescent="0.3">
      <c r="B18" s="2" t="s">
        <v>51</v>
      </c>
      <c r="C18" s="2" t="s">
        <v>7</v>
      </c>
      <c r="D18" s="2" t="s">
        <v>2</v>
      </c>
      <c r="E18" s="2" t="s">
        <v>15</v>
      </c>
      <c r="F18" s="2" t="s">
        <v>23</v>
      </c>
      <c r="G18" s="2">
        <v>10</v>
      </c>
      <c r="H18" s="2">
        <v>10</v>
      </c>
      <c r="I18" s="2">
        <v>1608</v>
      </c>
      <c r="J18" s="2">
        <v>4.1000000000000005</v>
      </c>
      <c r="K18" s="2">
        <v>85</v>
      </c>
      <c r="L18" s="6">
        <v>23.9983</v>
      </c>
      <c r="M18" s="6">
        <v>23.7651</v>
      </c>
      <c r="N18" s="6">
        <v>23.123800000000003</v>
      </c>
      <c r="O18" s="5">
        <f t="shared" si="1"/>
        <v>-3.6440081172416282E-2</v>
      </c>
      <c r="P18" s="6">
        <v>13.506329999999998</v>
      </c>
      <c r="Q18" s="6">
        <v>13.506329999999998</v>
      </c>
      <c r="R18" s="6">
        <v>13.506329999999998</v>
      </c>
      <c r="S18" s="6">
        <v>13.500499999999999</v>
      </c>
      <c r="T18" s="6">
        <v>13.494669999999999</v>
      </c>
      <c r="U18" s="6">
        <v>13.494669999999999</v>
      </c>
      <c r="V18" s="6">
        <v>13.494669999999999</v>
      </c>
      <c r="W18" s="6">
        <v>13.494669999999999</v>
      </c>
      <c r="X18" s="6">
        <v>13.494669999999999</v>
      </c>
      <c r="Y18" s="6">
        <v>13.494669999999999</v>
      </c>
      <c r="Z18" s="6">
        <v>13.494669999999999</v>
      </c>
      <c r="AA18" s="6">
        <f t="shared" si="2"/>
        <v>10.795736</v>
      </c>
      <c r="AB18" s="6">
        <f t="shared" si="3"/>
        <v>10.795736</v>
      </c>
      <c r="AC18" s="5">
        <f t="shared" si="4"/>
        <v>0.56231774750711505</v>
      </c>
      <c r="AD18" s="5">
        <f t="shared" si="5"/>
        <v>-0.43768225249288495</v>
      </c>
      <c r="AE18" s="5">
        <f t="shared" si="6"/>
        <v>0.56231774750711505</v>
      </c>
      <c r="AF18" s="5">
        <f t="shared" si="7"/>
        <v>-0.43768225249288495</v>
      </c>
      <c r="AG18" s="6">
        <v>0.99</v>
      </c>
    </row>
    <row r="19" spans="2:33" x14ac:dyDescent="0.3">
      <c r="B19" s="2" t="s">
        <v>52</v>
      </c>
      <c r="C19" s="2" t="s">
        <v>6</v>
      </c>
      <c r="D19" s="2" t="s">
        <v>4</v>
      </c>
      <c r="E19" s="2" t="s">
        <v>16</v>
      </c>
      <c r="F19" s="2" t="s">
        <v>22</v>
      </c>
      <c r="G19" s="2">
        <v>6.3</v>
      </c>
      <c r="H19" s="2">
        <v>47</v>
      </c>
      <c r="I19" s="2">
        <v>1005</v>
      </c>
      <c r="J19" s="2">
        <v>0.59999999999999987</v>
      </c>
      <c r="K19" s="2">
        <v>85</v>
      </c>
      <c r="L19" s="6">
        <v>28.218299999999999</v>
      </c>
      <c r="M19" s="6">
        <v>27.985099999999999</v>
      </c>
      <c r="N19" s="6">
        <v>27.343800000000002</v>
      </c>
      <c r="O19" s="5">
        <f t="shared" si="1"/>
        <v>-3.0990527423693053E-2</v>
      </c>
      <c r="P19" s="6">
        <v>17.726329999999997</v>
      </c>
      <c r="Q19" s="6">
        <v>17.726329999999997</v>
      </c>
      <c r="R19" s="6">
        <v>17.726329999999997</v>
      </c>
      <c r="S19" s="6">
        <v>17.720499999999998</v>
      </c>
      <c r="T19" s="6">
        <v>17.714669999999998</v>
      </c>
      <c r="U19" s="6">
        <v>17.714669999999998</v>
      </c>
      <c r="V19" s="6">
        <v>17.714669999999998</v>
      </c>
      <c r="W19" s="6">
        <v>17.714669999999998</v>
      </c>
      <c r="X19" s="6">
        <v>17.714669999999998</v>
      </c>
      <c r="Y19" s="6">
        <v>17.714669999999998</v>
      </c>
      <c r="Z19" s="6">
        <v>17.714669999999998</v>
      </c>
      <c r="AA19" s="6">
        <f t="shared" si="2"/>
        <v>14.171735999999999</v>
      </c>
      <c r="AB19" s="6">
        <f t="shared" si="3"/>
        <v>14.171735999999999</v>
      </c>
      <c r="AC19" s="5">
        <f t="shared" si="4"/>
        <v>0.62777240301506465</v>
      </c>
      <c r="AD19" s="5">
        <f t="shared" si="5"/>
        <v>-0.37222759698493535</v>
      </c>
      <c r="AE19" s="5">
        <f t="shared" si="6"/>
        <v>0.62777240301506465</v>
      </c>
      <c r="AF19" s="5">
        <f t="shared" si="7"/>
        <v>-0.37222759698493535</v>
      </c>
      <c r="AG19" s="6">
        <v>0.99</v>
      </c>
    </row>
    <row r="20" spans="2:33" x14ac:dyDescent="0.3">
      <c r="B20" s="2" t="s">
        <v>52</v>
      </c>
      <c r="C20" s="2" t="s">
        <v>5</v>
      </c>
      <c r="D20" s="2" t="s">
        <v>4</v>
      </c>
      <c r="E20" s="2" t="s">
        <v>17</v>
      </c>
      <c r="F20" s="2" t="s">
        <v>22</v>
      </c>
      <c r="G20" s="2">
        <v>4</v>
      </c>
      <c r="H20" s="2">
        <v>4.7</v>
      </c>
      <c r="I20" s="2">
        <v>1608</v>
      </c>
      <c r="J20" s="2">
        <v>2</v>
      </c>
      <c r="K20" s="2">
        <v>85</v>
      </c>
      <c r="L20" s="6">
        <v>14.656299999999998</v>
      </c>
      <c r="M20" s="6">
        <v>14.423099999999998</v>
      </c>
      <c r="N20" s="6">
        <v>13.7818</v>
      </c>
      <c r="O20" s="5">
        <f t="shared" si="1"/>
        <v>-5.9667173843330014E-2</v>
      </c>
      <c r="P20" s="6">
        <v>13.729329999999997</v>
      </c>
      <c r="Q20" s="6">
        <v>13.729329999999997</v>
      </c>
      <c r="R20" s="6">
        <v>13.729329999999997</v>
      </c>
      <c r="S20" s="6">
        <v>13.723499999999998</v>
      </c>
      <c r="T20" s="6">
        <v>13.717669999999998</v>
      </c>
      <c r="U20" s="6">
        <v>13.717669999999998</v>
      </c>
      <c r="V20" s="6">
        <v>13.717669999999998</v>
      </c>
      <c r="W20" s="6">
        <v>13.717669999999998</v>
      </c>
      <c r="X20" s="6">
        <v>13.717669999999998</v>
      </c>
      <c r="Y20" s="6">
        <v>13.717669999999998</v>
      </c>
      <c r="Z20" s="6">
        <v>13.717669999999998</v>
      </c>
      <c r="AA20" s="6">
        <f t="shared" si="2"/>
        <v>10.974136</v>
      </c>
      <c r="AB20" s="6">
        <f t="shared" si="3"/>
        <v>10.974136</v>
      </c>
      <c r="AC20" s="5">
        <f t="shared" si="4"/>
        <v>0.93595723340815895</v>
      </c>
      <c r="AD20" s="5">
        <f t="shared" si="5"/>
        <v>-6.4042766591841049E-2</v>
      </c>
      <c r="AE20" s="5">
        <f t="shared" si="6"/>
        <v>0.93595723340815895</v>
      </c>
      <c r="AF20" s="5">
        <f t="shared" si="7"/>
        <v>-6.4042766591841049E-2</v>
      </c>
      <c r="AG20" s="6">
        <v>0.99</v>
      </c>
    </row>
    <row r="21" spans="2:33" x14ac:dyDescent="0.3">
      <c r="B21" s="2" t="s">
        <v>52</v>
      </c>
      <c r="C21" s="2" t="s">
        <v>7</v>
      </c>
      <c r="D21" s="2" t="s">
        <v>4</v>
      </c>
      <c r="E21" s="2" t="s">
        <v>18</v>
      </c>
      <c r="F21" s="2" t="s">
        <v>23</v>
      </c>
      <c r="G21" s="2">
        <v>10</v>
      </c>
      <c r="H21" s="2">
        <v>10</v>
      </c>
      <c r="I21" s="2">
        <v>1608</v>
      </c>
      <c r="J21" s="2">
        <v>3.8000000000000007</v>
      </c>
      <c r="K21" s="2">
        <v>85</v>
      </c>
      <c r="L21" s="6">
        <v>17.056299999999997</v>
      </c>
      <c r="M21" s="6">
        <v>16.823099999999997</v>
      </c>
      <c r="N21" s="6">
        <v>16.181799999999999</v>
      </c>
      <c r="O21" s="5">
        <f t="shared" si="1"/>
        <v>-5.1271377731395305E-2</v>
      </c>
      <c r="P21" s="6">
        <v>16.129329999999996</v>
      </c>
      <c r="Q21" s="6">
        <v>16.129329999999996</v>
      </c>
      <c r="R21" s="6">
        <v>16.129329999999996</v>
      </c>
      <c r="S21" s="6">
        <v>16.123499999999996</v>
      </c>
      <c r="T21" s="6">
        <v>16.117669999999997</v>
      </c>
      <c r="U21" s="6">
        <v>16.117669999999997</v>
      </c>
      <c r="V21" s="6">
        <v>16.117669999999997</v>
      </c>
      <c r="W21" s="6">
        <v>16.117669999999997</v>
      </c>
      <c r="X21" s="6">
        <v>16.117669999999997</v>
      </c>
      <c r="Y21" s="6">
        <v>16.117669999999997</v>
      </c>
      <c r="Z21" s="6">
        <v>16.117669999999997</v>
      </c>
      <c r="AA21" s="6">
        <f t="shared" si="2"/>
        <v>12.894135999999998</v>
      </c>
      <c r="AB21" s="6">
        <f t="shared" si="3"/>
        <v>12.894135999999998</v>
      </c>
      <c r="AC21" s="5">
        <f t="shared" si="4"/>
        <v>0.94496872123496889</v>
      </c>
      <c r="AD21" s="5">
        <f t="shared" si="5"/>
        <v>-5.5031278765031111E-2</v>
      </c>
      <c r="AE21" s="5">
        <f t="shared" si="6"/>
        <v>0.94496872123496889</v>
      </c>
      <c r="AF21" s="5">
        <f t="shared" si="7"/>
        <v>-5.5031278765031111E-2</v>
      </c>
      <c r="AG21" s="6">
        <v>0.99</v>
      </c>
    </row>
    <row r="22" spans="2:33" x14ac:dyDescent="0.3">
      <c r="B22" s="2" t="s">
        <v>52</v>
      </c>
      <c r="C22" s="2" t="s">
        <v>6</v>
      </c>
      <c r="D22" s="2" t="s">
        <v>3</v>
      </c>
      <c r="E22" s="2" t="s">
        <v>19</v>
      </c>
      <c r="F22" s="2" t="s">
        <v>22</v>
      </c>
      <c r="G22" s="2">
        <v>6.3</v>
      </c>
      <c r="H22" s="2">
        <v>47</v>
      </c>
      <c r="I22" s="2">
        <v>1005</v>
      </c>
      <c r="J22" s="2">
        <v>0.29999999999999988</v>
      </c>
      <c r="K22" s="2">
        <v>95</v>
      </c>
      <c r="L22" s="6">
        <v>23.556299999999997</v>
      </c>
      <c r="M22" s="6">
        <v>23.323099999999997</v>
      </c>
      <c r="N22" s="6">
        <v>22.681799999999999</v>
      </c>
      <c r="O22" s="5">
        <f t="shared" si="1"/>
        <v>-3.7123826746984785E-2</v>
      </c>
      <c r="P22" s="6">
        <v>9.1293299999999959</v>
      </c>
      <c r="Q22" s="6">
        <v>9.1293299999999959</v>
      </c>
      <c r="R22" s="6">
        <v>9.1293299999999959</v>
      </c>
      <c r="S22" s="6">
        <v>9.1234999999999964</v>
      </c>
      <c r="T22" s="6">
        <v>9.1176699999999968</v>
      </c>
      <c r="U22" s="6">
        <v>9.1176699999999968</v>
      </c>
      <c r="V22" s="6">
        <v>9.1176699999999968</v>
      </c>
      <c r="W22" s="6">
        <v>9.1176699999999968</v>
      </c>
      <c r="X22" s="6">
        <v>9.1176699999999968</v>
      </c>
      <c r="Y22" s="6">
        <v>9.1176699999999968</v>
      </c>
      <c r="Z22" s="6">
        <v>9.1176699999999968</v>
      </c>
      <c r="AA22" s="6">
        <f t="shared" si="2"/>
        <v>7.2941359999999982</v>
      </c>
      <c r="AB22" s="6">
        <f t="shared" si="3"/>
        <v>7.2941359999999982</v>
      </c>
      <c r="AC22" s="5">
        <f t="shared" si="4"/>
        <v>0.38705866371204301</v>
      </c>
      <c r="AD22" s="5">
        <f t="shared" si="5"/>
        <v>-0.61294133628795699</v>
      </c>
      <c r="AE22" s="5">
        <f t="shared" si="6"/>
        <v>0.38705866371204301</v>
      </c>
      <c r="AF22" s="5">
        <f t="shared" si="7"/>
        <v>-0.61294133628795699</v>
      </c>
      <c r="AG22" s="6">
        <v>0.99</v>
      </c>
    </row>
    <row r="23" spans="2:33" x14ac:dyDescent="0.3">
      <c r="B23" s="2" t="s">
        <v>52</v>
      </c>
      <c r="C23" s="2" t="s">
        <v>5</v>
      </c>
      <c r="D23" s="2" t="s">
        <v>3</v>
      </c>
      <c r="E23" s="2" t="s">
        <v>20</v>
      </c>
      <c r="F23" s="2" t="s">
        <v>22</v>
      </c>
      <c r="G23" s="2">
        <v>4</v>
      </c>
      <c r="H23" s="2">
        <v>4.7</v>
      </c>
      <c r="I23" s="2">
        <v>1608</v>
      </c>
      <c r="J23" s="2">
        <v>1.7</v>
      </c>
      <c r="K23" s="2">
        <v>95</v>
      </c>
      <c r="L23" s="6">
        <v>22.256299999999996</v>
      </c>
      <c r="M23" s="6">
        <v>22.023099999999999</v>
      </c>
      <c r="N23" s="6">
        <v>21.381799999999998</v>
      </c>
      <c r="O23" s="5">
        <f t="shared" si="1"/>
        <v>-3.9292245341768298E-2</v>
      </c>
      <c r="P23" s="6">
        <v>7.5093299999999976</v>
      </c>
      <c r="Q23" s="6">
        <v>7.5093299999999976</v>
      </c>
      <c r="R23" s="6">
        <v>7.5093299999999976</v>
      </c>
      <c r="S23" s="6">
        <v>7.5034999999999981</v>
      </c>
      <c r="T23" s="6">
        <v>7.4976699999999985</v>
      </c>
      <c r="U23" s="6">
        <v>7.4976699999999985</v>
      </c>
      <c r="V23" s="6">
        <v>7.4976699999999985</v>
      </c>
      <c r="W23" s="6">
        <v>7.4976699999999985</v>
      </c>
      <c r="X23" s="6">
        <v>7.4976699999999985</v>
      </c>
      <c r="Y23" s="6">
        <v>7.4976699999999985</v>
      </c>
      <c r="Z23" s="6">
        <v>7.4976699999999985</v>
      </c>
      <c r="AA23" s="6">
        <f t="shared" si="2"/>
        <v>5.9981359999999988</v>
      </c>
      <c r="AB23" s="6">
        <f t="shared" si="3"/>
        <v>5.9981359999999988</v>
      </c>
      <c r="AC23" s="5">
        <f t="shared" si="4"/>
        <v>0.3368785467485611</v>
      </c>
      <c r="AD23" s="5">
        <f t="shared" si="5"/>
        <v>-0.6631214532514389</v>
      </c>
      <c r="AE23" s="5">
        <f t="shared" si="6"/>
        <v>0.3368785467485611</v>
      </c>
      <c r="AF23" s="5">
        <f t="shared" si="7"/>
        <v>-0.6631214532514389</v>
      </c>
      <c r="AG23" s="6">
        <v>0.99</v>
      </c>
    </row>
    <row r="24" spans="2:33" x14ac:dyDescent="0.3">
      <c r="B24" s="2" t="s">
        <v>52</v>
      </c>
      <c r="C24" s="2" t="s">
        <v>7</v>
      </c>
      <c r="D24" s="2" t="s">
        <v>3</v>
      </c>
      <c r="E24" s="2" t="s">
        <v>21</v>
      </c>
      <c r="F24" s="2" t="s">
        <v>23</v>
      </c>
      <c r="G24" s="2">
        <v>10</v>
      </c>
      <c r="H24" s="2">
        <v>10</v>
      </c>
      <c r="I24" s="2">
        <v>1608</v>
      </c>
      <c r="J24" s="2">
        <v>3.5000000000000009</v>
      </c>
      <c r="K24" s="2">
        <v>95</v>
      </c>
      <c r="L24" s="6">
        <v>28.220300000000002</v>
      </c>
      <c r="M24" s="6">
        <v>27.987100000000002</v>
      </c>
      <c r="N24" s="6">
        <v>27.345800000000004</v>
      </c>
      <c r="O24" s="5">
        <f t="shared" si="1"/>
        <v>-3.0988331094991817E-2</v>
      </c>
      <c r="P24" s="6">
        <v>17.72833</v>
      </c>
      <c r="Q24" s="6">
        <v>17.72833</v>
      </c>
      <c r="R24" s="6">
        <v>17.72833</v>
      </c>
      <c r="S24" s="6">
        <v>17.7225</v>
      </c>
      <c r="T24" s="6">
        <v>17.716670000000001</v>
      </c>
      <c r="U24" s="6">
        <v>17.716670000000001</v>
      </c>
      <c r="V24" s="6">
        <v>17.716670000000001</v>
      </c>
      <c r="W24" s="6">
        <v>17.716670000000001</v>
      </c>
      <c r="X24" s="6">
        <v>17.716670000000001</v>
      </c>
      <c r="Y24" s="6">
        <v>17.716670000000001</v>
      </c>
      <c r="Z24" s="6">
        <v>17.716670000000001</v>
      </c>
      <c r="AA24" s="6">
        <f t="shared" si="2"/>
        <v>14.173336000000001</v>
      </c>
      <c r="AB24" s="6">
        <f t="shared" si="3"/>
        <v>14.173336000000001</v>
      </c>
      <c r="AC24" s="5">
        <f t="shared" si="4"/>
        <v>0.62779878314546622</v>
      </c>
      <c r="AD24" s="5">
        <f t="shared" si="5"/>
        <v>-0.37220121685453378</v>
      </c>
      <c r="AE24" s="5">
        <f t="shared" si="6"/>
        <v>0.62779878314546622</v>
      </c>
      <c r="AF24" s="5">
        <f t="shared" si="7"/>
        <v>-0.37220121685453378</v>
      </c>
      <c r="AG24" s="6">
        <v>0.99</v>
      </c>
    </row>
  </sheetData>
  <mergeCells count="4">
    <mergeCell ref="B5:K5"/>
    <mergeCell ref="L5:Z5"/>
    <mergeCell ref="AA5:AG5"/>
    <mergeCell ref="B3:K3"/>
  </mergeCells>
  <phoneticPr fontId="1" type="noConversion"/>
  <pageMargins left="0.7" right="0.7" top="0.75" bottom="0.75" header="0.3" footer="0.3"/>
  <ignoredErrors>
    <ignoredError sqref="AE7 AE8:AE24 O8:O2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Aging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2026-09-29T02:02:05Z</dcterms:created>
  <dcterms:modified xsi:type="dcterms:W3CDTF">2026-09-29T07:52:54Z</dcterms:modified>
</cp:coreProperties>
</file>