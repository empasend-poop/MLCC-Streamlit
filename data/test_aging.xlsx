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E69050F-33AA-4CF4-80DE-A8CDD8A50F1D}" xr6:coauthVersionLast="47" xr6:coauthVersionMax="47" xr10:uidLastSave="{00000000-0000-0000-0000-000000000000}"/>
  <bookViews>
    <workbookView xWindow="-120" yWindow="-120" windowWidth="29040" windowHeight="15720" xr2:uid="{DD21264B-7F4D-4808-A1EE-9D5B44D53BA3}"/>
  </bookViews>
  <sheets>
    <sheet name="Aging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1" i="3" l="1"/>
  <c r="Q21" i="3" s="1"/>
  <c r="R21" i="3" s="1"/>
  <c r="S21" i="3" s="1"/>
  <c r="T21" i="3" s="1"/>
  <c r="U21" i="3" s="1"/>
  <c r="V21" i="3" s="1"/>
  <c r="W21" i="3" s="1"/>
  <c r="X21" i="3" s="1"/>
  <c r="Y21" i="3" s="1"/>
  <c r="Z21" i="3" s="1"/>
  <c r="P20" i="3"/>
  <c r="Q20" i="3" s="1"/>
  <c r="R20" i="3" s="1"/>
  <c r="S20" i="3" s="1"/>
  <c r="T20" i="3" s="1"/>
  <c r="U20" i="3" s="1"/>
  <c r="V20" i="3" s="1"/>
  <c r="W20" i="3" s="1"/>
  <c r="X20" i="3" s="1"/>
  <c r="Y20" i="3" s="1"/>
  <c r="P19" i="3"/>
  <c r="Q19" i="3" s="1"/>
  <c r="R19" i="3" s="1"/>
  <c r="S19" i="3" s="1"/>
  <c r="T19" i="3" s="1"/>
  <c r="U19" i="3" s="1"/>
  <c r="V19" i="3" s="1"/>
  <c r="W19" i="3" s="1"/>
  <c r="X19" i="3" s="1"/>
  <c r="Y19" i="3" s="1"/>
  <c r="P18" i="3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P17" i="3"/>
  <c r="Q17" i="3" s="1"/>
  <c r="R17" i="3" s="1"/>
  <c r="S17" i="3" s="1"/>
  <c r="T17" i="3" s="1"/>
  <c r="U17" i="3" s="1"/>
  <c r="V17" i="3" s="1"/>
  <c r="W17" i="3" s="1"/>
  <c r="X17" i="3" s="1"/>
  <c r="Y17" i="3" s="1"/>
  <c r="P16" i="3"/>
  <c r="Q16" i="3" s="1"/>
  <c r="R16" i="3" s="1"/>
  <c r="S16" i="3" s="1"/>
  <c r="T16" i="3" s="1"/>
  <c r="U16" i="3" s="1"/>
  <c r="V16" i="3" s="1"/>
  <c r="W16" i="3" s="1"/>
  <c r="X16" i="3" s="1"/>
  <c r="Y16" i="3" s="1"/>
  <c r="P15" i="3"/>
  <c r="Q15" i="3" s="1"/>
  <c r="R15" i="3" s="1"/>
  <c r="S15" i="3" s="1"/>
  <c r="T15" i="3" s="1"/>
  <c r="U15" i="3" s="1"/>
  <c r="V15" i="3" s="1"/>
  <c r="W15" i="3" s="1"/>
  <c r="X15" i="3" s="1"/>
  <c r="Y15" i="3" s="1"/>
  <c r="P14" i="3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P13" i="3"/>
  <c r="Q13" i="3" s="1"/>
  <c r="R13" i="3" s="1"/>
  <c r="S13" i="3" s="1"/>
  <c r="T13" i="3" s="1"/>
  <c r="U13" i="3" s="1"/>
  <c r="V13" i="3" s="1"/>
  <c r="W13" i="3" s="1"/>
  <c r="X13" i="3" s="1"/>
  <c r="Y13" i="3" s="1"/>
  <c r="P12" i="3"/>
  <c r="Q12" i="3" s="1"/>
  <c r="R12" i="3" s="1"/>
  <c r="S12" i="3" s="1"/>
  <c r="T12" i="3" s="1"/>
  <c r="U12" i="3" s="1"/>
  <c r="V12" i="3" s="1"/>
  <c r="W12" i="3" s="1"/>
  <c r="X12" i="3" s="1"/>
  <c r="Y12" i="3" s="1"/>
  <c r="P11" i="3"/>
  <c r="Q11" i="3" s="1"/>
  <c r="R11" i="3" s="1"/>
  <c r="S11" i="3" s="1"/>
  <c r="T11" i="3" s="1"/>
  <c r="U11" i="3" s="1"/>
  <c r="V11" i="3" s="1"/>
  <c r="W11" i="3" s="1"/>
  <c r="X11" i="3" s="1"/>
  <c r="Y11" i="3" s="1"/>
  <c r="P10" i="3"/>
  <c r="Q10" i="3" s="1"/>
  <c r="R10" i="3" s="1"/>
  <c r="S10" i="3" s="1"/>
  <c r="T10" i="3" s="1"/>
  <c r="U10" i="3" s="1"/>
  <c r="V10" i="3" s="1"/>
  <c r="W10" i="3" s="1"/>
  <c r="X10" i="3" s="1"/>
  <c r="Y10" i="3" s="1"/>
  <c r="P9" i="3"/>
  <c r="Q9" i="3" s="1"/>
  <c r="R9" i="3" s="1"/>
  <c r="S9" i="3" s="1"/>
  <c r="T9" i="3" s="1"/>
  <c r="U9" i="3" s="1"/>
  <c r="V9" i="3" s="1"/>
  <c r="W9" i="3" s="1"/>
  <c r="X9" i="3" s="1"/>
  <c r="Y9" i="3" s="1"/>
  <c r="P8" i="3"/>
  <c r="Q8" i="3" s="1"/>
  <c r="R8" i="3" s="1"/>
  <c r="S8" i="3" s="1"/>
  <c r="T8" i="3" s="1"/>
  <c r="U8" i="3" s="1"/>
  <c r="V8" i="3" s="1"/>
  <c r="W8" i="3" s="1"/>
  <c r="X8" i="3" s="1"/>
  <c r="Y8" i="3" s="1"/>
  <c r="P7" i="3"/>
  <c r="Q7" i="3" s="1"/>
  <c r="R7" i="3" s="1"/>
  <c r="S7" i="3" s="1"/>
  <c r="T7" i="3" s="1"/>
  <c r="U7" i="3" s="1"/>
  <c r="V7" i="3" s="1"/>
  <c r="W7" i="3" s="1"/>
  <c r="X7" i="3" s="1"/>
  <c r="Y7" i="3" s="1"/>
  <c r="P6" i="3"/>
  <c r="Q6" i="3" s="1"/>
  <c r="R6" i="3" s="1"/>
  <c r="S6" i="3" s="1"/>
  <c r="T6" i="3" s="1"/>
  <c r="U6" i="3" s="1"/>
  <c r="V6" i="3" s="1"/>
  <c r="W6" i="3" s="1"/>
  <c r="X6" i="3" s="1"/>
  <c r="Y6" i="3" s="1"/>
  <c r="O6" i="3"/>
  <c r="O7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AA6" i="3" l="1"/>
  <c r="Z6" i="3"/>
  <c r="AC6" i="3"/>
  <c r="AD6" i="3" s="1"/>
  <c r="AE21" i="3"/>
  <c r="AF21" i="3" s="1"/>
  <c r="AC21" i="3"/>
  <c r="AD21" i="3" s="1"/>
  <c r="Z12" i="3"/>
  <c r="AC12" i="3"/>
  <c r="AD12" i="3" s="1"/>
  <c r="AA12" i="3"/>
  <c r="Z10" i="3"/>
  <c r="AC10" i="3"/>
  <c r="AD10" i="3" s="1"/>
  <c r="AA10" i="3"/>
  <c r="AA11" i="3"/>
  <c r="Z11" i="3"/>
  <c r="AC11" i="3"/>
  <c r="AD11" i="3" s="1"/>
  <c r="Z13" i="3"/>
  <c r="AA13" i="3"/>
  <c r="AC13" i="3"/>
  <c r="AD13" i="3" s="1"/>
  <c r="AA14" i="3"/>
  <c r="AC14" i="3"/>
  <c r="AD14" i="3" s="1"/>
  <c r="Z15" i="3"/>
  <c r="AC15" i="3"/>
  <c r="AD15" i="3" s="1"/>
  <c r="AA15" i="3"/>
  <c r="AC16" i="3"/>
  <c r="AD16" i="3" s="1"/>
  <c r="Z16" i="3"/>
  <c r="AA16" i="3"/>
  <c r="AA17" i="3"/>
  <c r="AC17" i="3"/>
  <c r="AD17" i="3" s="1"/>
  <c r="Z17" i="3"/>
  <c r="Z8" i="3"/>
  <c r="AC8" i="3"/>
  <c r="AD8" i="3" s="1"/>
  <c r="AA8" i="3"/>
  <c r="AA19" i="3"/>
  <c r="AC19" i="3"/>
  <c r="AD19" i="3" s="1"/>
  <c r="Z19" i="3"/>
  <c r="Z9" i="3"/>
  <c r="AA9" i="3"/>
  <c r="AC9" i="3"/>
  <c r="AD9" i="3" s="1"/>
  <c r="AC20" i="3"/>
  <c r="AD20" i="3" s="1"/>
  <c r="AA20" i="3"/>
  <c r="Z20" i="3"/>
  <c r="AE20" i="3" s="1"/>
  <c r="AF20" i="3" s="1"/>
  <c r="AC7" i="3"/>
  <c r="AD7" i="3" s="1"/>
  <c r="AA7" i="3"/>
  <c r="Z7" i="3"/>
  <c r="AA21" i="3"/>
  <c r="AB6" i="3" l="1"/>
  <c r="AE6" i="3"/>
  <c r="AF6" i="3" s="1"/>
  <c r="AE17" i="3"/>
  <c r="AF17" i="3" s="1"/>
  <c r="AB17" i="3"/>
  <c r="AB11" i="3"/>
  <c r="AE11" i="3"/>
  <c r="AF11" i="3" s="1"/>
  <c r="AE13" i="3"/>
  <c r="AF13" i="3" s="1"/>
  <c r="AB13" i="3"/>
  <c r="AB16" i="3"/>
  <c r="AE16" i="3"/>
  <c r="AF16" i="3" s="1"/>
  <c r="AE9" i="3"/>
  <c r="AF9" i="3" s="1"/>
  <c r="AB9" i="3"/>
  <c r="AB20" i="3"/>
  <c r="AE19" i="3"/>
  <c r="AF19" i="3" s="1"/>
  <c r="AB19" i="3"/>
  <c r="AB21" i="3"/>
  <c r="AE15" i="3"/>
  <c r="AF15" i="3" s="1"/>
  <c r="AB15" i="3"/>
  <c r="AE10" i="3"/>
  <c r="AF10" i="3" s="1"/>
  <c r="AB10" i="3"/>
  <c r="AB14" i="3"/>
  <c r="AE14" i="3"/>
  <c r="AF14" i="3" s="1"/>
  <c r="AB8" i="3"/>
  <c r="AE8" i="3"/>
  <c r="AF8" i="3" s="1"/>
  <c r="AB12" i="3"/>
  <c r="AE12" i="3"/>
  <c r="AF12" i="3" s="1"/>
  <c r="AB7" i="3"/>
  <c r="AE7" i="3"/>
  <c r="AF7" i="3" s="1"/>
  <c r="AE18" i="3"/>
  <c r="AF18" i="3" s="1"/>
  <c r="AB18" i="3"/>
  <c r="AC18" i="3"/>
  <c r="AD18" i="3" s="1"/>
  <c r="AA18" i="3"/>
</calcChain>
</file>

<file path=xl/sharedStrings.xml><?xml version="1.0" encoding="utf-8"?>
<sst xmlns="http://schemas.openxmlformats.org/spreadsheetml/2006/main" count="115" uniqueCount="62">
  <si>
    <t>부품사</t>
    <phoneticPr fontId="1" type="noConversion"/>
  </si>
  <si>
    <t>자재코드</t>
    <phoneticPr fontId="1" type="noConversion"/>
  </si>
  <si>
    <t>2203-008953</t>
    <phoneticPr fontId="1" type="noConversion"/>
  </si>
  <si>
    <t>2203-007317</t>
    <phoneticPr fontId="1" type="noConversion"/>
  </si>
  <si>
    <t>2203-010255</t>
    <phoneticPr fontId="1" type="noConversion"/>
  </si>
  <si>
    <t>부품사코드</t>
    <phoneticPr fontId="1" type="noConversion"/>
  </si>
  <si>
    <t>Grade</t>
    <phoneticPr fontId="1" type="noConversion"/>
  </si>
  <si>
    <t>정격전압(V)</t>
    <phoneticPr fontId="1" type="noConversion"/>
  </si>
  <si>
    <t>정격용량(uF)</t>
    <phoneticPr fontId="1" type="noConversion"/>
  </si>
  <si>
    <t>Size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</si>
  <si>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</si>
  <si>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</si>
  <si>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</si>
  <si>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</si>
  <si>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</si>
  <si>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</si>
  <si>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</si>
  <si>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</si>
  <si>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X5R</t>
    <phoneticPr fontId="1" type="noConversion"/>
  </si>
  <si>
    <t>X6S</t>
    <phoneticPr fontId="1" type="noConversion"/>
  </si>
  <si>
    <t>시험전압</t>
    <phoneticPr fontId="1" type="noConversion"/>
  </si>
  <si>
    <t>시험온도</t>
    <phoneticPr fontId="1" type="noConversion"/>
  </si>
  <si>
    <t>① 25℃, 0V</t>
    <phoneticPr fontId="1" type="noConversion"/>
  </si>
  <si>
    <t>③ 고온+DC Bias</t>
    <phoneticPr fontId="1" type="noConversion"/>
  </si>
  <si>
    <t>△C 
(①-③)/①</t>
    <phoneticPr fontId="1" type="noConversion"/>
  </si>
  <si>
    <t>24hr</t>
    <phoneticPr fontId="1" type="noConversion"/>
  </si>
  <si>
    <t>48hr</t>
    <phoneticPr fontId="1" type="noConversion"/>
  </si>
  <si>
    <t>72hr</t>
    <phoneticPr fontId="1" type="noConversion"/>
  </si>
  <si>
    <t>96hr</t>
    <phoneticPr fontId="1" type="noConversion"/>
  </si>
  <si>
    <t>200hr</t>
    <phoneticPr fontId="1" type="noConversion"/>
  </si>
  <si>
    <t>500hr</t>
    <phoneticPr fontId="1" type="noConversion"/>
  </si>
  <si>
    <t>1,000hr</t>
    <phoneticPr fontId="1" type="noConversion"/>
  </si>
  <si>
    <t>8,760hr</t>
    <phoneticPr fontId="1" type="noConversion"/>
  </si>
  <si>
    <t>43,800hr</t>
    <phoneticPr fontId="1" type="noConversion"/>
  </si>
  <si>
    <t>61,320hr</t>
    <phoneticPr fontId="1" type="noConversion"/>
  </si>
  <si>
    <t>87,600hr</t>
    <phoneticPr fontId="1" type="noConversion"/>
  </si>
  <si>
    <t>10년
(-20%반영)</t>
    <phoneticPr fontId="1" type="noConversion"/>
  </si>
  <si>
    <t>7년 
(-20%반영)</t>
    <phoneticPr fontId="1" type="noConversion"/>
  </si>
  <si>
    <t>업데이트일자</t>
    <phoneticPr fontId="1" type="noConversion"/>
  </si>
  <si>
    <t>결정계수 (R^2)</t>
    <phoneticPr fontId="1" type="noConversion"/>
  </si>
  <si>
    <t>MLCC 및 평가정보</t>
    <phoneticPr fontId="1" type="noConversion"/>
  </si>
  <si>
    <t>Aging 평가기반, 시간경과에 따른 잔여용량</t>
    <phoneticPr fontId="1" type="noConversion"/>
  </si>
  <si>
    <t>7년
잔여율</t>
    <phoneticPr fontId="1" type="noConversion"/>
  </si>
  <si>
    <t>7년
감소율</t>
    <phoneticPr fontId="1" type="noConversion"/>
  </si>
  <si>
    <t>10년
잔여율</t>
    <phoneticPr fontId="1" type="noConversion"/>
  </si>
  <si>
    <t>10년
감소율</t>
    <phoneticPr fontId="1" type="noConversion"/>
  </si>
  <si>
    <t>평가결과 요약</t>
    <phoneticPr fontId="1" type="noConversion"/>
  </si>
  <si>
    <t>2026.06.04</t>
    <phoneticPr fontId="1" type="noConversion"/>
  </si>
  <si>
    <t>2026.08.11</t>
    <phoneticPr fontId="1" type="noConversion"/>
  </si>
  <si>
    <t>②고온+No Bias</t>
    <phoneticPr fontId="1" type="noConversion"/>
  </si>
  <si>
    <t>Supplier A</t>
    <phoneticPr fontId="1" type="noConversion"/>
  </si>
  <si>
    <t>Supplier B</t>
    <phoneticPr fontId="1" type="noConversion"/>
  </si>
  <si>
    <t>Supplier C</t>
    <phoneticPr fontId="1" type="noConversion"/>
  </si>
  <si>
    <t>2203-008491</t>
    <phoneticPr fontId="1" type="noConversion"/>
  </si>
  <si>
    <t>2203-019098</t>
    <phoneticPr fontId="1" type="noConversion"/>
  </si>
  <si>
    <t>IJ</t>
    <phoneticPr fontId="1" type="noConversion"/>
  </si>
  <si>
    <t>BJ</t>
    <phoneticPr fontId="1" type="noConversion"/>
  </si>
  <si>
    <t>CJJ</t>
    <phoneticPr fontId="1" type="noConversion"/>
  </si>
  <si>
    <t>DJJ</t>
    <phoneticPr fontId="1" type="noConversion"/>
  </si>
  <si>
    <t>EKK</t>
    <phoneticPr fontId="1" type="noConversion"/>
  </si>
  <si>
    <t>GJJ</t>
    <phoneticPr fontId="1" type="noConversion"/>
  </si>
  <si>
    <t>HII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</si>
</sst>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972E9-C86A-4F45-BBA1-030368046B35}">
  <dimension ref="A1:AG21"/>
  <sheetViews>
    <sheetView showGridLines="0" tabSelected="1" topLeftCell="A3" zoomScaleNormal="100" workbookViewId="0">
      <selection activeCell="C6" sqref="C6"/>
    </sheetView>
  </sheetViews>
  <sheetFormatPr defaultRowHeight="16.5" x14ac:dyDescent="0.3"/>
  <cols>
    <col min="1" max="1" width="4.375" style="1" customWidth="1"/>
    <col min="2" max="2" width="13" style="1" bestFit="1" customWidth="1"/>
    <col min="3" max="3" width="13.125" style="1" bestFit="1" customWidth="1"/>
    <col min="4" max="11" width="11.875" style="1" customWidth="1"/>
    <col min="12" max="12" width="12.125" style="1" customWidth="1"/>
    <col min="13" max="14" width="15.5" style="1" bestFit="1" customWidth="1"/>
    <col min="15" max="15" width="14" style="1" bestFit="1" customWidth="1"/>
    <col min="16" max="26" width="8.5" style="1" customWidth="1"/>
    <col min="27" max="28" width="11.875" style="1" customWidth="1"/>
    <col min="29" max="32" width="10" style="1" customWidth="1"/>
    <col min="33" max="33" width="14" style="1" customWidth="1"/>
    <col min="34" max="16384" width="9" style="1"/>
  </cols>
  <sheetData>
    <row r="1" spans="1:33" x14ac:dyDescent="0.3">
      <c r="A1" s="2" t="s">
        <v>18</v>
      </c>
    </row>
    <row r="4" spans="1:33" x14ac:dyDescent="0.3">
      <c r="B4" s="7" t="s">
        <v>40</v>
      </c>
      <c r="C4" s="8"/>
      <c r="D4" s="8"/>
      <c r="E4" s="8"/>
      <c r="F4" s="8"/>
      <c r="G4" s="8"/>
      <c r="H4" s="8"/>
      <c r="I4" s="8"/>
      <c r="J4" s="8"/>
      <c r="K4" s="9"/>
      <c r="L4" s="7" t="s">
        <v>41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9"/>
      <c r="AA4" s="7" t="s">
        <v>46</v>
      </c>
      <c r="AB4" s="8"/>
      <c r="AC4" s="8"/>
      <c r="AD4" s="8"/>
      <c r="AE4" s="8"/>
      <c r="AF4" s="8"/>
      <c r="AG4" s="9"/>
    </row>
    <row r="5" spans="1:33" ht="33" x14ac:dyDescent="0.3">
      <c r="B5" s="3" t="s">
        <v>38</v>
      </c>
      <c r="C5" s="3" t="s">
        <v>1</v>
      </c>
      <c r="D5" s="3" t="s">
        <v>0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20</v>
      </c>
      <c r="K5" s="3" t="s">
        <v>21</v>
      </c>
      <c r="L5" s="3" t="s">
        <v>22</v>
      </c>
      <c r="M5" s="3" t="s">
        <v>49</v>
      </c>
      <c r="N5" s="3" t="s">
        <v>23</v>
      </c>
      <c r="O5" s="4" t="s">
        <v>24</v>
      </c>
      <c r="P5" s="3" t="s">
        <v>25</v>
      </c>
      <c r="Q5" s="3" t="s">
        <v>26</v>
      </c>
      <c r="R5" s="3" t="s">
        <v>27</v>
      </c>
      <c r="S5" s="3" t="s">
        <v>28</v>
      </c>
      <c r="T5" s="3" t="s">
        <v>29</v>
      </c>
      <c r="U5" s="3" t="s">
        <v>30</v>
      </c>
      <c r="V5" s="3" t="s">
        <v>31</v>
      </c>
      <c r="W5" s="3" t="s">
        <v>32</v>
      </c>
      <c r="X5" s="3" t="s">
        <v>33</v>
      </c>
      <c r="Y5" s="3" t="s">
        <v>34</v>
      </c>
      <c r="Z5" s="3" t="s">
        <v>35</v>
      </c>
      <c r="AA5" s="4" t="s">
        <v>37</v>
      </c>
      <c r="AB5" s="4" t="s">
        <v>36</v>
      </c>
      <c r="AC5" s="4" t="s">
        <v>42</v>
      </c>
      <c r="AD5" s="4" t="s">
        <v>43</v>
      </c>
      <c r="AE5" s="4" t="s">
        <v>44</v>
      </c>
      <c r="AF5" s="4" t="s">
        <v>45</v>
      </c>
      <c r="AG5" s="4" t="s">
        <v>39</v>
      </c>
    </row>
    <row r="6" spans="1:33" x14ac:dyDescent="0.3">
      <c r="B6" s="2" t="s">
        <v>47</v>
      </c>
      <c r="C6" s="10" t="s">
        <v>3</v>
      </c>
      <c r="D6" s="2" t="s">
        <v>50</v>
      </c>
      <c r="E6" s="2" t="s">
        <v>10</v>
      </c>
      <c r="F6" s="2" t="s">
        <v>18</v>
      </c>
      <c r="G6" s="2">
        <v>6.3</v>
      </c>
      <c r="H6" s="2">
        <v>47</v>
      </c>
      <c r="I6" s="2">
        <v>1005</v>
      </c>
      <c r="J6" s="2">
        <v>1.8</v>
      </c>
      <c r="K6" s="2">
        <v>85</v>
      </c>
      <c r="L6" s="6">
        <v>41</v>
      </c>
      <c r="M6" s="6">
        <v>37.4</v>
      </c>
      <c r="N6" s="6">
        <v>21</v>
      </c>
      <c r="O6" s="5">
        <f>-((L6-N6)/L6)</f>
        <v>-0.48780487804878048</v>
      </c>
      <c r="P6" s="6">
        <f>N6*0.98</f>
        <v>20.58</v>
      </c>
      <c r="Q6" s="6">
        <f>P6*0.97</f>
        <v>19.962599999999998</v>
      </c>
      <c r="R6" s="6">
        <f>Q6*0.97</f>
        <v>19.363721999999999</v>
      </c>
      <c r="S6" s="6">
        <f>R6*0.97</f>
        <v>18.782810339999997</v>
      </c>
      <c r="T6" s="6">
        <f>S6*0.97</f>
        <v>18.219326029799998</v>
      </c>
      <c r="U6" s="6">
        <f>T6*0.97</f>
        <v>17.672746248905998</v>
      </c>
      <c r="V6" s="6">
        <f>U6*0.97</f>
        <v>17.142563861438816</v>
      </c>
      <c r="W6" s="6">
        <f>V6*0.97</f>
        <v>16.628286945595651</v>
      </c>
      <c r="X6" s="6">
        <f>W6*0.97</f>
        <v>16.129438337227782</v>
      </c>
      <c r="Y6" s="6">
        <f>X6*0.97</f>
        <v>15.645555187110949</v>
      </c>
      <c r="Z6" s="6">
        <f>Y6*0.97</f>
        <v>15.176188531497621</v>
      </c>
      <c r="AA6" s="6">
        <f t="shared" ref="AA6:AB9" si="0">Y6*0.8</f>
        <v>12.516444149688759</v>
      </c>
      <c r="AB6" s="6">
        <f t="shared" si="0"/>
        <v>12.140950825198097</v>
      </c>
      <c r="AC6" s="5">
        <f>Y6/L6</f>
        <v>0.38159890700270604</v>
      </c>
      <c r="AD6" s="5">
        <f>-(1-AC6)</f>
        <v>-0.61840109299729396</v>
      </c>
      <c r="AE6" s="5">
        <f>Z6/L6</f>
        <v>0.37015093979262492</v>
      </c>
      <c r="AF6" s="5">
        <f>-(1-AE6)</f>
        <v>-0.62984906020737508</v>
      </c>
      <c r="AG6" s="6">
        <v>0.99</v>
      </c>
    </row>
    <row r="7" spans="1:33" ht="15.75" customHeight="1" x14ac:dyDescent="0.3">
      <c r="B7" s="2" t="s">
        <v>47</v>
      </c>
      <c r="C7" s="10" t="s">
        <v>3</v>
      </c>
      <c r="D7" s="2" t="s">
        <v>50</v>
      </c>
      <c r="E7" s="2" t="s">
        <v>10</v>
      </c>
      <c r="F7" s="2" t="s">
        <v>18</v>
      </c>
      <c r="G7" s="2">
        <v>6.3</v>
      </c>
      <c r="H7" s="2">
        <v>47</v>
      </c>
      <c r="I7" s="2">
        <v>1005</v>
      </c>
      <c r="J7" s="2">
        <v>0.89999999999999991</v>
      </c>
      <c r="K7" s="2">
        <v>85</v>
      </c>
      <c r="L7" s="6">
        <v>41.1</v>
      </c>
      <c r="M7" s="6">
        <v>36.9</v>
      </c>
      <c r="N7" s="6">
        <v>29.9</v>
      </c>
      <c r="O7" s="5">
        <f>-((L7-N7)/L7)</f>
        <v>-0.27250608272506088</v>
      </c>
      <c r="P7" s="6">
        <f>N7*0.98</f>
        <v>29.302</v>
      </c>
      <c r="Q7" s="6">
        <f>P7*0.97</f>
        <v>28.422940000000001</v>
      </c>
      <c r="R7" s="6">
        <f>Q7*0.97</f>
        <v>27.570251800000001</v>
      </c>
      <c r="S7" s="6">
        <f>R7*0.97</f>
        <v>26.743144246</v>
      </c>
      <c r="T7" s="6">
        <f>S7*0.97</f>
        <v>25.94084991862</v>
      </c>
      <c r="U7" s="6">
        <f>T7*0.97</f>
        <v>25.162624421061398</v>
      </c>
      <c r="V7" s="6">
        <f>U7*0.97</f>
        <v>24.407745688429557</v>
      </c>
      <c r="W7" s="6">
        <f>V7*0.97</f>
        <v>23.675513317776669</v>
      </c>
      <c r="X7" s="6">
        <f>W7*0.97</f>
        <v>22.965247918243367</v>
      </c>
      <c r="Y7" s="6">
        <f>X7*0.97</f>
        <v>22.276290480696066</v>
      </c>
      <c r="Z7" s="6">
        <f>Y7*0.97</f>
        <v>21.608001766275184</v>
      </c>
      <c r="AA7" s="6">
        <f t="shared" si="0"/>
        <v>17.821032384556855</v>
      </c>
      <c r="AB7" s="6">
        <f t="shared" si="0"/>
        <v>17.286401413020148</v>
      </c>
      <c r="AC7" s="5">
        <f t="shared" ref="AC7" si="1">Y7/L7</f>
        <v>0.5420022014767899</v>
      </c>
      <c r="AD7" s="5">
        <f t="shared" ref="AD7" si="2">-(1-AC7)</f>
        <v>-0.4579977985232101</v>
      </c>
      <c r="AE7" s="5">
        <f t="shared" ref="AE7" si="3">Z7/L7</f>
        <v>0.52574213543248616</v>
      </c>
      <c r="AF7" s="5">
        <f t="shared" ref="AF7" si="4">-(1-AE7)</f>
        <v>-0.47425786456751384</v>
      </c>
      <c r="AG7" s="6">
        <v>0.85</v>
      </c>
    </row>
    <row r="8" spans="1:33" x14ac:dyDescent="0.3">
      <c r="B8" s="2" t="s">
        <v>47</v>
      </c>
      <c r="C8" s="14" t="s">
        <v>2</v>
      </c>
      <c r="D8" s="2" t="s">
        <v>50</v>
      </c>
      <c r="E8" s="2" t="s">
        <v>11</v>
      </c>
      <c r="F8" s="2" t="s">
        <v>18</v>
      </c>
      <c r="G8" s="2">
        <v>4</v>
      </c>
      <c r="H8" s="2">
        <v>4.7</v>
      </c>
      <c r="I8" s="2">
        <v>1608</v>
      </c>
      <c r="J8" s="2">
        <v>1.8</v>
      </c>
      <c r="K8" s="2">
        <v>85</v>
      </c>
      <c r="L8" s="6">
        <v>4.66</v>
      </c>
      <c r="M8" s="6">
        <v>3.99</v>
      </c>
      <c r="N8" s="6">
        <v>2.5499999999999998</v>
      </c>
      <c r="O8" s="5">
        <f>-((L8-N8)/L8)</f>
        <v>-0.4527896995708155</v>
      </c>
      <c r="P8" s="6">
        <f t="shared" ref="P8:P21" si="5">N8*0.98</f>
        <v>2.4989999999999997</v>
      </c>
      <c r="Q8" s="6">
        <f t="shared" ref="Q8:Z8" si="6">P8*0.97</f>
        <v>2.4240299999999997</v>
      </c>
      <c r="R8" s="6">
        <f t="shared" si="6"/>
        <v>2.3513090999999995</v>
      </c>
      <c r="S8" s="6">
        <f t="shared" si="6"/>
        <v>2.2807698269999994</v>
      </c>
      <c r="T8" s="6">
        <f t="shared" si="6"/>
        <v>2.2123467321899994</v>
      </c>
      <c r="U8" s="6">
        <f t="shared" si="6"/>
        <v>2.1459763302242996</v>
      </c>
      <c r="V8" s="6">
        <f t="shared" si="6"/>
        <v>2.0815970403175705</v>
      </c>
      <c r="W8" s="6">
        <f t="shared" si="6"/>
        <v>2.0191491291080435</v>
      </c>
      <c r="X8" s="6">
        <f t="shared" si="6"/>
        <v>1.958574655234802</v>
      </c>
      <c r="Y8" s="6">
        <f t="shared" si="6"/>
        <v>1.8998174155777579</v>
      </c>
      <c r="Z8" s="6">
        <f t="shared" si="6"/>
        <v>1.8428228931104251</v>
      </c>
      <c r="AA8" s="6">
        <f t="shared" si="0"/>
        <v>1.5198539324622065</v>
      </c>
      <c r="AB8" s="6">
        <f t="shared" si="0"/>
        <v>1.4742583144883401</v>
      </c>
      <c r="AC8" s="5">
        <f>Y8/L8</f>
        <v>0.40768614068192227</v>
      </c>
      <c r="AD8" s="5">
        <f>-(1-AC8)</f>
        <v>-0.59231385931807767</v>
      </c>
      <c r="AE8" s="5">
        <f>Z8/L8</f>
        <v>0.39545555646146463</v>
      </c>
      <c r="AF8" s="5">
        <f>-(1-AE8)</f>
        <v>-0.60454444353853543</v>
      </c>
      <c r="AG8" s="6">
        <v>0.99</v>
      </c>
    </row>
    <row r="9" spans="1:33" x14ac:dyDescent="0.3">
      <c r="B9" s="2" t="s">
        <v>47</v>
      </c>
      <c r="C9" s="15" t="s">
        <v>4</v>
      </c>
      <c r="D9" s="2" t="s">
        <v>50</v>
      </c>
      <c r="E9" s="2" t="s">
        <v>12</v>
      </c>
      <c r="F9" s="2" t="s">
        <v>19</v>
      </c>
      <c r="G9" s="2">
        <v>10</v>
      </c>
      <c r="H9" s="2">
        <v>10</v>
      </c>
      <c r="I9" s="2">
        <v>1608</v>
      </c>
      <c r="J9" s="2">
        <v>5</v>
      </c>
      <c r="K9" s="2">
        <v>85</v>
      </c>
      <c r="L9" s="6">
        <v>10.5</v>
      </c>
      <c r="M9" s="6">
        <v>8.3000000000000007</v>
      </c>
      <c r="N9" s="6">
        <v>5.44</v>
      </c>
      <c r="O9" s="5">
        <f>-((L9-N9)/L9)</f>
        <v>-0.48190476190476189</v>
      </c>
      <c r="P9" s="6">
        <f t="shared" si="5"/>
        <v>5.3311999999999999</v>
      </c>
      <c r="Q9" s="6">
        <f t="shared" ref="Q9:Z9" si="7">P9*0.97</f>
        <v>5.1712639999999999</v>
      </c>
      <c r="R9" s="6">
        <f t="shared" si="7"/>
        <v>5.0161260799999994</v>
      </c>
      <c r="S9" s="6">
        <f t="shared" si="7"/>
        <v>4.8656422975999991</v>
      </c>
      <c r="T9" s="6">
        <f t="shared" si="7"/>
        <v>4.7196730286719992</v>
      </c>
      <c r="U9" s="6">
        <f t="shared" si="7"/>
        <v>4.5780828378118388</v>
      </c>
      <c r="V9" s="6">
        <f t="shared" si="7"/>
        <v>4.4407403526774836</v>
      </c>
      <c r="W9" s="6">
        <f t="shared" si="7"/>
        <v>4.3075181420971589</v>
      </c>
      <c r="X9" s="6">
        <f t="shared" si="7"/>
        <v>4.1782925978342442</v>
      </c>
      <c r="Y9" s="6">
        <f t="shared" si="7"/>
        <v>4.0529438198992169</v>
      </c>
      <c r="Z9" s="6">
        <f t="shared" si="7"/>
        <v>3.9313555053022404</v>
      </c>
      <c r="AA9" s="6">
        <f t="shared" si="0"/>
        <v>3.2423550559193739</v>
      </c>
      <c r="AB9" s="6">
        <f t="shared" si="0"/>
        <v>3.1450844042417927</v>
      </c>
      <c r="AC9" s="5">
        <f>Y9/L9</f>
        <v>0.38599464951421114</v>
      </c>
      <c r="AD9" s="5">
        <f>-(1-AC9)</f>
        <v>-0.61400535048578886</v>
      </c>
      <c r="AE9" s="5">
        <f>Z9/L9</f>
        <v>0.37441481002878479</v>
      </c>
      <c r="AF9" s="5">
        <f>-(1-AE9)</f>
        <v>-0.62558518997121526</v>
      </c>
      <c r="AG9" s="6">
        <v>0.99</v>
      </c>
    </row>
    <row r="10" spans="1:33" x14ac:dyDescent="0.3">
      <c r="B10" s="2" t="s">
        <v>47</v>
      </c>
      <c r="C10" s="10" t="s">
        <v>3</v>
      </c>
      <c r="D10" s="2" t="s">
        <v>51</v>
      </c>
      <c r="E10" s="2" t="s">
        <v>13</v>
      </c>
      <c r="F10" s="2" t="s">
        <v>18</v>
      </c>
      <c r="G10" s="2">
        <v>6.3</v>
      </c>
      <c r="H10" s="2">
        <v>47</v>
      </c>
      <c r="I10" s="2">
        <v>1005</v>
      </c>
      <c r="J10" s="2">
        <v>1.8</v>
      </c>
      <c r="K10" s="2">
        <v>85</v>
      </c>
      <c r="L10" s="6">
        <v>47.6</v>
      </c>
      <c r="M10" s="6">
        <v>41</v>
      </c>
      <c r="N10" s="6">
        <v>25.5</v>
      </c>
      <c r="O10" s="5">
        <f t="shared" ref="O10:O21" si="8">-((L10-N10)/L10)</f>
        <v>-0.4642857142857143</v>
      </c>
      <c r="P10" s="6">
        <f t="shared" si="5"/>
        <v>24.99</v>
      </c>
      <c r="Q10" s="6">
        <f t="shared" ref="Q10:Z10" si="9">P10*0.97</f>
        <v>24.240299999999998</v>
      </c>
      <c r="R10" s="6">
        <f t="shared" si="9"/>
        <v>23.513090999999996</v>
      </c>
      <c r="S10" s="6">
        <f t="shared" si="9"/>
        <v>22.807698269999996</v>
      </c>
      <c r="T10" s="6">
        <f t="shared" si="9"/>
        <v>22.123467321899994</v>
      </c>
      <c r="U10" s="6">
        <f t="shared" si="9"/>
        <v>21.459763302242994</v>
      </c>
      <c r="V10" s="6">
        <f t="shared" si="9"/>
        <v>20.815970403175704</v>
      </c>
      <c r="W10" s="6">
        <f t="shared" si="9"/>
        <v>20.191491291080432</v>
      </c>
      <c r="X10" s="6">
        <f t="shared" si="9"/>
        <v>19.58574655234802</v>
      </c>
      <c r="Y10" s="6">
        <f t="shared" si="9"/>
        <v>18.99817415577758</v>
      </c>
      <c r="Z10" s="6">
        <f t="shared" si="9"/>
        <v>18.42822893110425</v>
      </c>
      <c r="AA10" s="6">
        <f t="shared" ref="AA10:AA21" si="10">Y10*0.8</f>
        <v>15.198539324622065</v>
      </c>
      <c r="AB10" s="6">
        <f t="shared" ref="AB10:AB21" si="11">Z10*0.8</f>
        <v>14.742583144883401</v>
      </c>
      <c r="AC10" s="5">
        <f t="shared" ref="AC10:AC21" si="12">Y10/L10</f>
        <v>0.39912130579364663</v>
      </c>
      <c r="AD10" s="5">
        <f t="shared" ref="AD10:AD21" si="13">-(1-AC10)</f>
        <v>-0.60087869420635331</v>
      </c>
      <c r="AE10" s="5">
        <f t="shared" ref="AE10:AE21" si="14">Z10/L10</f>
        <v>0.38714766661983718</v>
      </c>
      <c r="AF10" s="5">
        <f t="shared" ref="AF10:AF21" si="15">-(1-AE10)</f>
        <v>-0.61285233338016276</v>
      </c>
      <c r="AG10" s="6">
        <v>0.99</v>
      </c>
    </row>
    <row r="11" spans="1:33" x14ac:dyDescent="0.3">
      <c r="B11" s="2" t="s">
        <v>47</v>
      </c>
      <c r="C11" s="14" t="s">
        <v>2</v>
      </c>
      <c r="D11" s="2" t="s">
        <v>51</v>
      </c>
      <c r="E11" s="2" t="s">
        <v>14</v>
      </c>
      <c r="F11" s="2" t="s">
        <v>18</v>
      </c>
      <c r="G11" s="2">
        <v>4</v>
      </c>
      <c r="H11" s="2">
        <v>4.7</v>
      </c>
      <c r="I11" s="2">
        <v>1608</v>
      </c>
      <c r="J11" s="2">
        <v>1.8</v>
      </c>
      <c r="K11" s="2">
        <v>85</v>
      </c>
      <c r="L11" s="6">
        <v>4.88</v>
      </c>
      <c r="M11" s="6">
        <v>4.22</v>
      </c>
      <c r="N11" s="6">
        <v>2.99</v>
      </c>
      <c r="O11" s="5">
        <f t="shared" si="8"/>
        <v>-0.38729508196721307</v>
      </c>
      <c r="P11" s="6">
        <f t="shared" si="5"/>
        <v>2.9302000000000001</v>
      </c>
      <c r="Q11" s="6">
        <f t="shared" ref="Q11:Z11" si="16">P11*0.97</f>
        <v>2.8422939999999999</v>
      </c>
      <c r="R11" s="6">
        <f t="shared" si="16"/>
        <v>2.7570251799999999</v>
      </c>
      <c r="S11" s="6">
        <f t="shared" si="16"/>
        <v>2.6743144245999999</v>
      </c>
      <c r="T11" s="6">
        <f t="shared" si="16"/>
        <v>2.5940849918619997</v>
      </c>
      <c r="U11" s="6">
        <f t="shared" si="16"/>
        <v>2.5162624421061395</v>
      </c>
      <c r="V11" s="6">
        <f t="shared" si="16"/>
        <v>2.4407745688429552</v>
      </c>
      <c r="W11" s="6">
        <f t="shared" si="16"/>
        <v>2.3675513317776664</v>
      </c>
      <c r="X11" s="6">
        <f t="shared" si="16"/>
        <v>2.2965247918243366</v>
      </c>
      <c r="Y11" s="6">
        <f t="shared" si="16"/>
        <v>2.2276290480696064</v>
      </c>
      <c r="Z11" s="6">
        <f t="shared" si="16"/>
        <v>2.160800176627518</v>
      </c>
      <c r="AA11" s="6">
        <f t="shared" si="10"/>
        <v>1.7821032384556852</v>
      </c>
      <c r="AB11" s="6">
        <f t="shared" si="11"/>
        <v>1.7286401413020145</v>
      </c>
      <c r="AC11" s="5">
        <f t="shared" si="12"/>
        <v>0.45648136230934561</v>
      </c>
      <c r="AD11" s="5">
        <f t="shared" si="13"/>
        <v>-0.54351863769065445</v>
      </c>
      <c r="AE11" s="5">
        <f t="shared" si="14"/>
        <v>0.44278692144006515</v>
      </c>
      <c r="AF11" s="5">
        <f t="shared" si="15"/>
        <v>-0.55721307855993485</v>
      </c>
      <c r="AG11" s="6">
        <v>0.99</v>
      </c>
    </row>
    <row r="12" spans="1:33" x14ac:dyDescent="0.3">
      <c r="B12" s="2" t="s">
        <v>47</v>
      </c>
      <c r="C12" s="15" t="s">
        <v>4</v>
      </c>
      <c r="D12" s="2" t="s">
        <v>51</v>
      </c>
      <c r="E12" s="2" t="s">
        <v>15</v>
      </c>
      <c r="F12" s="2" t="s">
        <v>19</v>
      </c>
      <c r="G12" s="2">
        <v>10</v>
      </c>
      <c r="H12" s="2">
        <v>10</v>
      </c>
      <c r="I12" s="2">
        <v>1608</v>
      </c>
      <c r="J12" s="2">
        <v>4.7</v>
      </c>
      <c r="K12" s="2">
        <v>85</v>
      </c>
      <c r="L12" s="6">
        <v>9.8800000000000008</v>
      </c>
      <c r="M12" s="6">
        <v>8.11</v>
      </c>
      <c r="N12" s="6">
        <v>5.33</v>
      </c>
      <c r="O12" s="5">
        <f t="shared" si="8"/>
        <v>-0.46052631578947373</v>
      </c>
      <c r="P12" s="6">
        <f t="shared" si="5"/>
        <v>5.2233999999999998</v>
      </c>
      <c r="Q12" s="6">
        <f t="shared" ref="Q12:Z12" si="17">P12*0.97</f>
        <v>5.0666979999999997</v>
      </c>
      <c r="R12" s="6">
        <f t="shared" si="17"/>
        <v>4.91469706</v>
      </c>
      <c r="S12" s="6">
        <f t="shared" si="17"/>
        <v>4.7672561481999995</v>
      </c>
      <c r="T12" s="6">
        <f t="shared" si="17"/>
        <v>4.6242384637539997</v>
      </c>
      <c r="U12" s="6">
        <f t="shared" si="17"/>
        <v>4.4855113098413799</v>
      </c>
      <c r="V12" s="6">
        <f t="shared" si="17"/>
        <v>4.350945970546138</v>
      </c>
      <c r="W12" s="6">
        <f t="shared" si="17"/>
        <v>4.2204175914297535</v>
      </c>
      <c r="X12" s="6">
        <f t="shared" si="17"/>
        <v>4.0938050636868608</v>
      </c>
      <c r="Y12" s="6">
        <f t="shared" si="17"/>
        <v>3.970990911776255</v>
      </c>
      <c r="Z12" s="6">
        <f t="shared" si="17"/>
        <v>3.8518611844229671</v>
      </c>
      <c r="AA12" s="6">
        <f t="shared" si="10"/>
        <v>3.1767927294210043</v>
      </c>
      <c r="AB12" s="6">
        <f t="shared" si="11"/>
        <v>3.0814889475383738</v>
      </c>
      <c r="AC12" s="5">
        <f t="shared" si="12"/>
        <v>0.40192215706237394</v>
      </c>
      <c r="AD12" s="5">
        <f t="shared" si="13"/>
        <v>-0.59807784293762611</v>
      </c>
      <c r="AE12" s="5">
        <f t="shared" si="14"/>
        <v>0.38986449235050269</v>
      </c>
      <c r="AF12" s="5">
        <f t="shared" si="15"/>
        <v>-0.61013550764949731</v>
      </c>
      <c r="AG12" s="6">
        <v>0.99</v>
      </c>
    </row>
    <row r="13" spans="1:33" x14ac:dyDescent="0.3">
      <c r="B13" s="2" t="s">
        <v>47</v>
      </c>
      <c r="C13" s="10" t="s">
        <v>3</v>
      </c>
      <c r="D13" s="2" t="s">
        <v>52</v>
      </c>
      <c r="E13" s="2" t="s">
        <v>16</v>
      </c>
      <c r="F13" s="2" t="s">
        <v>18</v>
      </c>
      <c r="G13" s="2">
        <v>6.3</v>
      </c>
      <c r="H13" s="2">
        <v>47</v>
      </c>
      <c r="I13" s="2">
        <v>1005</v>
      </c>
      <c r="J13" s="2">
        <v>1.8</v>
      </c>
      <c r="K13" s="2">
        <v>85</v>
      </c>
      <c r="L13" s="6">
        <v>38.799999999999997</v>
      </c>
      <c r="M13" s="6">
        <v>35.1</v>
      </c>
      <c r="N13" s="6">
        <v>31.3</v>
      </c>
      <c r="O13" s="5">
        <f t="shared" si="8"/>
        <v>-0.19329896907216487</v>
      </c>
      <c r="P13" s="6">
        <f t="shared" si="5"/>
        <v>30.673999999999999</v>
      </c>
      <c r="Q13" s="6">
        <f t="shared" ref="Q13:Z13" si="18">P13*0.97</f>
        <v>29.753779999999999</v>
      </c>
      <c r="R13" s="6">
        <f t="shared" si="18"/>
        <v>28.861166599999997</v>
      </c>
      <c r="S13" s="6">
        <f t="shared" si="18"/>
        <v>27.995331601999997</v>
      </c>
      <c r="T13" s="6">
        <f t="shared" si="18"/>
        <v>27.155471653939998</v>
      </c>
      <c r="U13" s="6">
        <f t="shared" si="18"/>
        <v>26.340807504321798</v>
      </c>
      <c r="V13" s="6">
        <f t="shared" si="18"/>
        <v>25.550583279192143</v>
      </c>
      <c r="W13" s="6">
        <f t="shared" si="18"/>
        <v>24.784065780816377</v>
      </c>
      <c r="X13" s="6">
        <f t="shared" si="18"/>
        <v>24.040543807391884</v>
      </c>
      <c r="Y13" s="6">
        <f t="shared" si="18"/>
        <v>23.319327493170128</v>
      </c>
      <c r="Z13" s="6">
        <f t="shared" si="18"/>
        <v>22.619747668375023</v>
      </c>
      <c r="AA13" s="6">
        <f t="shared" si="10"/>
        <v>18.655461994536104</v>
      </c>
      <c r="AB13" s="6">
        <f t="shared" si="11"/>
        <v>18.095798134700019</v>
      </c>
      <c r="AC13" s="5">
        <f t="shared" si="12"/>
        <v>0.60101359518479713</v>
      </c>
      <c r="AD13" s="5">
        <f t="shared" si="13"/>
        <v>-0.39898640481520287</v>
      </c>
      <c r="AE13" s="5">
        <f t="shared" si="14"/>
        <v>0.58298318732925325</v>
      </c>
      <c r="AF13" s="5">
        <f t="shared" si="15"/>
        <v>-0.41701681267074675</v>
      </c>
      <c r="AG13" s="6">
        <v>0.99</v>
      </c>
    </row>
    <row r="14" spans="1:33" x14ac:dyDescent="0.3">
      <c r="B14" s="2" t="s">
        <v>47</v>
      </c>
      <c r="C14" s="14" t="s">
        <v>2</v>
      </c>
      <c r="D14" s="2" t="s">
        <v>52</v>
      </c>
      <c r="E14" s="2" t="s">
        <v>17</v>
      </c>
      <c r="G14" s="2">
        <v>4</v>
      </c>
      <c r="H14" s="2">
        <v>4.7</v>
      </c>
      <c r="I14" s="2">
        <v>1608</v>
      </c>
      <c r="J14" s="2">
        <v>1.8</v>
      </c>
      <c r="K14" s="2">
        <v>85</v>
      </c>
      <c r="L14" s="6">
        <v>4.6900000000000004</v>
      </c>
      <c r="M14" s="6">
        <v>4.1100000000000003</v>
      </c>
      <c r="N14" s="6">
        <v>3.11</v>
      </c>
      <c r="O14" s="5">
        <f t="shared" si="8"/>
        <v>-0.33688699360341162</v>
      </c>
      <c r="P14" s="6">
        <f t="shared" si="5"/>
        <v>3.0477999999999996</v>
      </c>
      <c r="Q14" s="6">
        <f>P14*0.94</f>
        <v>2.8649319999999996</v>
      </c>
      <c r="R14" s="6">
        <f t="shared" ref="R14:Z14" si="19">Q14*0.94</f>
        <v>2.6930360799999993</v>
      </c>
      <c r="S14" s="6">
        <f t="shared" si="19"/>
        <v>2.5314539151999993</v>
      </c>
      <c r="T14" s="6">
        <f t="shared" si="19"/>
        <v>2.3795666802879993</v>
      </c>
      <c r="U14" s="6">
        <f t="shared" si="19"/>
        <v>2.2367926794707191</v>
      </c>
      <c r="V14" s="6">
        <f t="shared" si="19"/>
        <v>2.1025851187024758</v>
      </c>
      <c r="W14" s="6">
        <f t="shared" si="19"/>
        <v>1.9764300115803271</v>
      </c>
      <c r="X14" s="6">
        <f t="shared" si="19"/>
        <v>1.8578442108855073</v>
      </c>
      <c r="Y14" s="6">
        <f t="shared" si="19"/>
        <v>1.7463735582323767</v>
      </c>
      <c r="Z14" s="6">
        <f t="shared" si="19"/>
        <v>1.6415911447384339</v>
      </c>
      <c r="AA14" s="6">
        <f t="shared" si="10"/>
        <v>1.3970988465859016</v>
      </c>
      <c r="AB14" s="6">
        <f t="shared" si="11"/>
        <v>1.3132729157907472</v>
      </c>
      <c r="AC14" s="5">
        <f t="shared" si="12"/>
        <v>0.37236109983632765</v>
      </c>
      <c r="AD14" s="5">
        <f t="shared" si="13"/>
        <v>-0.62763890016367241</v>
      </c>
      <c r="AE14" s="5">
        <f t="shared" si="14"/>
        <v>0.35001943384614792</v>
      </c>
      <c r="AF14" s="5">
        <f t="shared" si="15"/>
        <v>-0.64998056615385202</v>
      </c>
      <c r="AG14" s="6">
        <v>0.96</v>
      </c>
    </row>
    <row r="15" spans="1:33" x14ac:dyDescent="0.3">
      <c r="B15" s="2" t="s">
        <v>47</v>
      </c>
      <c r="C15" s="15" t="s">
        <v>4</v>
      </c>
      <c r="D15" s="2" t="s">
        <v>52</v>
      </c>
      <c r="E15" s="2" t="s">
        <v>55</v>
      </c>
      <c r="F15" s="2" t="s">
        <v>19</v>
      </c>
      <c r="G15" s="2">
        <v>10</v>
      </c>
      <c r="H15" s="2">
        <v>10</v>
      </c>
      <c r="I15" s="2">
        <v>1608</v>
      </c>
      <c r="J15" s="2">
        <v>4.4000000000000004</v>
      </c>
      <c r="K15" s="2">
        <v>85</v>
      </c>
      <c r="L15" s="6">
        <v>11.4</v>
      </c>
      <c r="M15" s="6">
        <v>10.1</v>
      </c>
      <c r="N15" s="6">
        <v>8.44</v>
      </c>
      <c r="O15" s="5">
        <f t="shared" si="8"/>
        <v>-0.25964912280701763</v>
      </c>
      <c r="P15" s="6">
        <f t="shared" si="5"/>
        <v>8.2711999999999986</v>
      </c>
      <c r="Q15" s="6">
        <f t="shared" ref="Q15:Z15" si="20">P15*0.97</f>
        <v>8.023063999999998</v>
      </c>
      <c r="R15" s="6">
        <f t="shared" si="20"/>
        <v>7.7823720799999982</v>
      </c>
      <c r="S15" s="6">
        <f t="shared" si="20"/>
        <v>7.5489009175999984</v>
      </c>
      <c r="T15" s="6">
        <f t="shared" si="20"/>
        <v>7.3224338900719985</v>
      </c>
      <c r="U15" s="6">
        <f t="shared" si="20"/>
        <v>7.1027608733698386</v>
      </c>
      <c r="V15" s="6">
        <f t="shared" si="20"/>
        <v>6.8896780471687435</v>
      </c>
      <c r="W15" s="6">
        <f t="shared" si="20"/>
        <v>6.6829877057536811</v>
      </c>
      <c r="X15" s="6">
        <f t="shared" si="20"/>
        <v>6.4824980745810707</v>
      </c>
      <c r="Y15" s="6">
        <f t="shared" si="20"/>
        <v>6.2880231323436382</v>
      </c>
      <c r="Z15" s="6">
        <f t="shared" si="20"/>
        <v>6.0993824383733291</v>
      </c>
      <c r="AA15" s="6">
        <f t="shared" si="10"/>
        <v>5.0304185058749109</v>
      </c>
      <c r="AB15" s="6">
        <f t="shared" si="11"/>
        <v>4.8795059506986638</v>
      </c>
      <c r="AC15" s="5">
        <f t="shared" si="12"/>
        <v>0.55158097652137172</v>
      </c>
      <c r="AD15" s="5">
        <f t="shared" si="13"/>
        <v>-0.44841902347862828</v>
      </c>
      <c r="AE15" s="5">
        <f t="shared" si="14"/>
        <v>0.5350335472257306</v>
      </c>
      <c r="AF15" s="5">
        <f t="shared" si="15"/>
        <v>-0.4649664527742694</v>
      </c>
      <c r="AG15" s="6">
        <v>0.98</v>
      </c>
    </row>
    <row r="16" spans="1:33" s="11" customFormat="1" x14ac:dyDescent="0.3">
      <c r="B16" s="3" t="s">
        <v>47</v>
      </c>
      <c r="C16" s="3" t="s">
        <v>53</v>
      </c>
      <c r="D16" s="3" t="s">
        <v>50</v>
      </c>
      <c r="E16" s="3" t="s">
        <v>56</v>
      </c>
      <c r="F16" s="3" t="s">
        <v>18</v>
      </c>
      <c r="G16" s="3">
        <v>6.3</v>
      </c>
      <c r="H16" s="3">
        <v>22</v>
      </c>
      <c r="I16" s="2">
        <v>1005</v>
      </c>
      <c r="J16" s="3">
        <v>3.3</v>
      </c>
      <c r="K16" s="3">
        <v>85</v>
      </c>
      <c r="L16" s="12">
        <v>22.1</v>
      </c>
      <c r="M16" s="12">
        <v>18.399999999999999</v>
      </c>
      <c r="N16" s="12">
        <v>6.532</v>
      </c>
      <c r="O16" s="13">
        <f t="shared" si="8"/>
        <v>-0.70443438914027157</v>
      </c>
      <c r="P16" s="6">
        <f t="shared" si="5"/>
        <v>6.4013599999999995</v>
      </c>
      <c r="Q16" s="6">
        <f t="shared" ref="Q16:Z16" si="21">P16*0.97</f>
        <v>6.2093191999999995</v>
      </c>
      <c r="R16" s="6">
        <f t="shared" si="21"/>
        <v>6.023039623999999</v>
      </c>
      <c r="S16" s="6">
        <f t="shared" si="21"/>
        <v>5.842348435279999</v>
      </c>
      <c r="T16" s="6">
        <f t="shared" si="21"/>
        <v>5.6670779822215991</v>
      </c>
      <c r="U16" s="6">
        <f t="shared" si="21"/>
        <v>5.4970656427549507</v>
      </c>
      <c r="V16" s="6">
        <f t="shared" si="21"/>
        <v>5.3321536734723018</v>
      </c>
      <c r="W16" s="6">
        <f t="shared" si="21"/>
        <v>5.1721890632681324</v>
      </c>
      <c r="X16" s="6">
        <f t="shared" si="21"/>
        <v>5.0170233913700883</v>
      </c>
      <c r="Y16" s="6">
        <f t="shared" si="21"/>
        <v>4.8665126896289852</v>
      </c>
      <c r="Z16" s="6">
        <f t="shared" si="21"/>
        <v>4.7205173089401153</v>
      </c>
      <c r="AA16" s="12">
        <f t="shared" si="10"/>
        <v>3.8932101517031885</v>
      </c>
      <c r="AB16" s="12">
        <f t="shared" si="11"/>
        <v>3.7764138471520923</v>
      </c>
      <c r="AC16" s="13">
        <f t="shared" si="12"/>
        <v>0.22020419410085904</v>
      </c>
      <c r="AD16" s="13">
        <f t="shared" si="13"/>
        <v>-0.77979580589914099</v>
      </c>
      <c r="AE16" s="13">
        <f t="shared" si="14"/>
        <v>0.21359806827783326</v>
      </c>
      <c r="AF16" s="13">
        <f t="shared" si="15"/>
        <v>-0.78640193172216677</v>
      </c>
      <c r="AG16" s="12">
        <v>0.96</v>
      </c>
    </row>
    <row r="17" spans="2:33" x14ac:dyDescent="0.3">
      <c r="B17" s="2" t="s">
        <v>47</v>
      </c>
      <c r="C17" s="2" t="s">
        <v>54</v>
      </c>
      <c r="D17" s="2" t="s">
        <v>50</v>
      </c>
      <c r="E17" s="2" t="s">
        <v>57</v>
      </c>
      <c r="F17" s="2" t="s">
        <v>19</v>
      </c>
      <c r="G17" s="2">
        <v>50</v>
      </c>
      <c r="H17" s="2">
        <v>2</v>
      </c>
      <c r="I17" s="2">
        <v>1608</v>
      </c>
      <c r="J17" s="2">
        <v>12</v>
      </c>
      <c r="K17" s="2">
        <v>85</v>
      </c>
      <c r="L17" s="6">
        <v>1.9</v>
      </c>
      <c r="M17" s="6">
        <v>1.1000000000000001</v>
      </c>
      <c r="N17" s="6">
        <v>0.4</v>
      </c>
      <c r="O17" s="5">
        <f t="shared" si="8"/>
        <v>-0.78947368421052633</v>
      </c>
      <c r="P17" s="6">
        <f t="shared" si="5"/>
        <v>0.39200000000000002</v>
      </c>
      <c r="Q17" s="6">
        <f t="shared" ref="Q17:Z17" si="22">P17*0.97</f>
        <v>0.38024000000000002</v>
      </c>
      <c r="R17" s="6">
        <f t="shared" si="22"/>
        <v>0.36883280000000002</v>
      </c>
      <c r="S17" s="6">
        <f t="shared" si="22"/>
        <v>0.35776781600000002</v>
      </c>
      <c r="T17" s="6">
        <f t="shared" si="22"/>
        <v>0.34703478152</v>
      </c>
      <c r="U17" s="6">
        <f t="shared" si="22"/>
        <v>0.33662373807439999</v>
      </c>
      <c r="V17" s="6">
        <f t="shared" si="22"/>
        <v>0.32652502593216798</v>
      </c>
      <c r="W17" s="6">
        <f t="shared" si="22"/>
        <v>0.31672927515420291</v>
      </c>
      <c r="X17" s="6">
        <f t="shared" si="22"/>
        <v>0.30722739689957679</v>
      </c>
      <c r="Y17" s="6">
        <f t="shared" si="22"/>
        <v>0.29801057499258948</v>
      </c>
      <c r="Z17" s="6">
        <f t="shared" si="22"/>
        <v>0.28907025774281181</v>
      </c>
      <c r="AA17" s="6">
        <f t="shared" si="10"/>
        <v>0.23840845999407159</v>
      </c>
      <c r="AB17" s="6">
        <f t="shared" si="11"/>
        <v>0.23125620619424947</v>
      </c>
      <c r="AC17" s="5">
        <f t="shared" si="12"/>
        <v>0.15684767104873132</v>
      </c>
      <c r="AD17" s="5">
        <f t="shared" si="13"/>
        <v>-0.84315232895126868</v>
      </c>
      <c r="AE17" s="5">
        <f t="shared" si="14"/>
        <v>0.15214224091726938</v>
      </c>
      <c r="AF17" s="5">
        <f t="shared" si="15"/>
        <v>-0.84785775908273064</v>
      </c>
      <c r="AG17" s="6">
        <v>0.99</v>
      </c>
    </row>
    <row r="18" spans="2:33" x14ac:dyDescent="0.3">
      <c r="B18" s="2" t="s">
        <v>48</v>
      </c>
      <c r="C18" s="2" t="s">
        <v>53</v>
      </c>
      <c r="D18" s="2" t="s">
        <v>51</v>
      </c>
      <c r="E18" s="2" t="s">
        <v>58</v>
      </c>
      <c r="F18" s="2" t="s">
        <v>18</v>
      </c>
      <c r="G18" s="3">
        <v>6.3</v>
      </c>
      <c r="H18" s="3">
        <v>22</v>
      </c>
      <c r="I18" s="2">
        <v>1005</v>
      </c>
      <c r="J18" s="2">
        <v>3.3</v>
      </c>
      <c r="K18" s="2">
        <v>85</v>
      </c>
      <c r="L18" s="6">
        <v>23.7</v>
      </c>
      <c r="M18" s="6">
        <v>21.1</v>
      </c>
      <c r="N18" s="6">
        <v>17.600000000000001</v>
      </c>
      <c r="O18" s="5">
        <f t="shared" si="8"/>
        <v>-0.25738396624472565</v>
      </c>
      <c r="P18" s="6">
        <f t="shared" si="5"/>
        <v>17.248000000000001</v>
      </c>
      <c r="Q18" s="6">
        <f t="shared" ref="Q18:Z18" si="23">P18*0.97</f>
        <v>16.730560000000001</v>
      </c>
      <c r="R18" s="6">
        <f t="shared" si="23"/>
        <v>16.2286432</v>
      </c>
      <c r="S18" s="6">
        <f t="shared" si="23"/>
        <v>15.741783904</v>
      </c>
      <c r="T18" s="6">
        <f t="shared" si="23"/>
        <v>15.26953038688</v>
      </c>
      <c r="U18" s="6">
        <f t="shared" si="23"/>
        <v>14.8114444752736</v>
      </c>
      <c r="V18" s="6">
        <f t="shared" si="23"/>
        <v>14.367101141015391</v>
      </c>
      <c r="W18" s="6">
        <f t="shared" si="23"/>
        <v>13.936088106784929</v>
      </c>
      <c r="X18" s="6">
        <f t="shared" si="23"/>
        <v>13.518005463581382</v>
      </c>
      <c r="Y18" s="6">
        <f t="shared" si="23"/>
        <v>13.112465299673939</v>
      </c>
      <c r="Z18" s="6">
        <f t="shared" si="23"/>
        <v>12.71909134068372</v>
      </c>
      <c r="AA18" s="6">
        <f t="shared" si="10"/>
        <v>10.489972239739153</v>
      </c>
      <c r="AB18" s="6">
        <f t="shared" si="11"/>
        <v>10.175273072546977</v>
      </c>
      <c r="AC18" s="5">
        <f t="shared" si="12"/>
        <v>0.55326857804531393</v>
      </c>
      <c r="AD18" s="5">
        <f t="shared" si="13"/>
        <v>-0.44673142195468607</v>
      </c>
      <c r="AE18" s="5">
        <f t="shared" si="14"/>
        <v>0.53667052070395449</v>
      </c>
      <c r="AF18" s="5">
        <f t="shared" si="15"/>
        <v>-0.46332947929604551</v>
      </c>
      <c r="AG18" s="6">
        <v>0.99</v>
      </c>
    </row>
    <row r="19" spans="2:33" x14ac:dyDescent="0.3">
      <c r="B19" s="2" t="s">
        <v>48</v>
      </c>
      <c r="C19" s="2" t="s">
        <v>54</v>
      </c>
      <c r="D19" s="2" t="s">
        <v>51</v>
      </c>
      <c r="E19" s="2" t="s">
        <v>59</v>
      </c>
      <c r="F19" s="2" t="s">
        <v>18</v>
      </c>
      <c r="G19" s="2">
        <v>50</v>
      </c>
      <c r="H19" s="2">
        <v>2</v>
      </c>
      <c r="I19" s="2">
        <v>1608</v>
      </c>
      <c r="J19" s="2">
        <v>12</v>
      </c>
      <c r="K19" s="2">
        <v>85</v>
      </c>
      <c r="L19" s="6">
        <v>2.19</v>
      </c>
      <c r="M19" s="6">
        <v>1.98</v>
      </c>
      <c r="N19" s="6">
        <v>1.22</v>
      </c>
      <c r="O19" s="5">
        <f t="shared" si="8"/>
        <v>-0.44292237442922372</v>
      </c>
      <c r="P19" s="6">
        <f t="shared" si="5"/>
        <v>1.1956</v>
      </c>
      <c r="Q19" s="6">
        <f t="shared" ref="Q19:Z19" si="24">P19*0.97</f>
        <v>1.159732</v>
      </c>
      <c r="R19" s="6">
        <f t="shared" si="24"/>
        <v>1.12494004</v>
      </c>
      <c r="S19" s="6">
        <f t="shared" si="24"/>
        <v>1.0911918387999999</v>
      </c>
      <c r="T19" s="6">
        <f t="shared" si="24"/>
        <v>1.058456083636</v>
      </c>
      <c r="U19" s="6">
        <f t="shared" si="24"/>
        <v>1.0267024011269199</v>
      </c>
      <c r="V19" s="6">
        <f t="shared" si="24"/>
        <v>0.99590132909311224</v>
      </c>
      <c r="W19" s="6">
        <f t="shared" si="24"/>
        <v>0.9660242892203188</v>
      </c>
      <c r="X19" s="6">
        <f t="shared" si="24"/>
        <v>0.93704356054370919</v>
      </c>
      <c r="Y19" s="6">
        <f t="shared" si="24"/>
        <v>0.90893225372739783</v>
      </c>
      <c r="Z19" s="6">
        <f t="shared" si="24"/>
        <v>0.8816642861155759</v>
      </c>
      <c r="AA19" s="6">
        <f t="shared" si="10"/>
        <v>0.72714580298191833</v>
      </c>
      <c r="AB19" s="6">
        <f t="shared" si="11"/>
        <v>0.70533142889246081</v>
      </c>
      <c r="AC19" s="5">
        <f t="shared" si="12"/>
        <v>0.41503755877963372</v>
      </c>
      <c r="AD19" s="5">
        <f t="shared" si="13"/>
        <v>-0.58496244122036622</v>
      </c>
      <c r="AE19" s="5">
        <f t="shared" si="14"/>
        <v>0.40258643201624472</v>
      </c>
      <c r="AF19" s="5">
        <f t="shared" si="15"/>
        <v>-0.59741356798375533</v>
      </c>
      <c r="AG19" s="6">
        <v>0.99</v>
      </c>
    </row>
    <row r="20" spans="2:33" x14ac:dyDescent="0.3">
      <c r="B20" s="2" t="s">
        <v>48</v>
      </c>
      <c r="C20" s="2" t="s">
        <v>53</v>
      </c>
      <c r="D20" s="2" t="s">
        <v>52</v>
      </c>
      <c r="E20" s="2" t="s">
        <v>60</v>
      </c>
      <c r="F20" s="2" t="s">
        <v>18</v>
      </c>
      <c r="G20" s="3">
        <v>6.3</v>
      </c>
      <c r="H20" s="3">
        <v>22</v>
      </c>
      <c r="I20" s="2">
        <v>1005</v>
      </c>
      <c r="J20" s="2">
        <v>3.3</v>
      </c>
      <c r="K20" s="2">
        <v>95</v>
      </c>
      <c r="L20" s="6">
        <v>20.11</v>
      </c>
      <c r="M20" s="6">
        <v>15.55</v>
      </c>
      <c r="N20" s="6">
        <v>12.22</v>
      </c>
      <c r="O20" s="5">
        <f t="shared" si="8"/>
        <v>-0.39234211834908</v>
      </c>
      <c r="P20" s="6">
        <f t="shared" si="5"/>
        <v>11.9756</v>
      </c>
      <c r="Q20" s="6">
        <f t="shared" ref="Q20:Z20" si="25">P20*0.97</f>
        <v>11.616332</v>
      </c>
      <c r="R20" s="6">
        <f t="shared" si="25"/>
        <v>11.26784204</v>
      </c>
      <c r="S20" s="6">
        <f t="shared" si="25"/>
        <v>10.9298067788</v>
      </c>
      <c r="T20" s="6">
        <f t="shared" si="25"/>
        <v>10.601912575436</v>
      </c>
      <c r="U20" s="6">
        <f t="shared" si="25"/>
        <v>10.283855198172919</v>
      </c>
      <c r="V20" s="6">
        <f t="shared" si="25"/>
        <v>9.9753395422277311</v>
      </c>
      <c r="W20" s="6">
        <f t="shared" si="25"/>
        <v>9.6760793559608995</v>
      </c>
      <c r="X20" s="6">
        <f t="shared" si="25"/>
        <v>9.3857969752820729</v>
      </c>
      <c r="Y20" s="6">
        <f t="shared" si="25"/>
        <v>9.1042230660236108</v>
      </c>
      <c r="Z20" s="6">
        <f t="shared" si="25"/>
        <v>8.831096374042902</v>
      </c>
      <c r="AA20" s="6">
        <f t="shared" si="10"/>
        <v>7.283378452818889</v>
      </c>
      <c r="AB20" s="6">
        <f t="shared" si="11"/>
        <v>7.0648770992343222</v>
      </c>
      <c r="AC20" s="5">
        <f t="shared" si="12"/>
        <v>0.45272118677392398</v>
      </c>
      <c r="AD20" s="5">
        <f t="shared" si="13"/>
        <v>-0.54727881322607597</v>
      </c>
      <c r="AE20" s="5">
        <f t="shared" si="14"/>
        <v>0.43913955117070624</v>
      </c>
      <c r="AF20" s="5">
        <f t="shared" si="15"/>
        <v>-0.56086044882929376</v>
      </c>
      <c r="AG20" s="6">
        <v>0.99</v>
      </c>
    </row>
    <row r="21" spans="2:33" x14ac:dyDescent="0.3">
      <c r="B21" s="2" t="s">
        <v>48</v>
      </c>
      <c r="C21" s="2" t="s">
        <v>54</v>
      </c>
      <c r="D21" s="2" t="s">
        <v>52</v>
      </c>
      <c r="E21" s="2" t="s">
        <v>61</v>
      </c>
      <c r="F21" s="2" t="s">
        <v>18</v>
      </c>
      <c r="G21" s="2">
        <v>50</v>
      </c>
      <c r="H21" s="2">
        <v>2</v>
      </c>
      <c r="I21" s="2">
        <v>1608</v>
      </c>
      <c r="J21" s="2">
        <v>12</v>
      </c>
      <c r="K21" s="2">
        <v>95</v>
      </c>
      <c r="L21" s="6">
        <v>2.0099999999999998</v>
      </c>
      <c r="M21" s="6">
        <v>1.77</v>
      </c>
      <c r="N21" s="6">
        <v>1.39</v>
      </c>
      <c r="O21" s="5">
        <f t="shared" si="8"/>
        <v>-0.30845771144278605</v>
      </c>
      <c r="P21" s="6">
        <f t="shared" si="5"/>
        <v>1.3621999999999999</v>
      </c>
      <c r="Q21" s="6">
        <f>P21*0.95</f>
        <v>1.2940899999999997</v>
      </c>
      <c r="R21" s="6">
        <f t="shared" ref="R21:Z21" si="26">Q21*0.95</f>
        <v>1.2293854999999998</v>
      </c>
      <c r="S21" s="6">
        <f t="shared" si="26"/>
        <v>1.1679162249999997</v>
      </c>
      <c r="T21" s="6">
        <f t="shared" si="26"/>
        <v>1.1095204137499997</v>
      </c>
      <c r="U21" s="6">
        <f t="shared" si="26"/>
        <v>1.0540443930624996</v>
      </c>
      <c r="V21" s="6">
        <f t="shared" si="26"/>
        <v>1.0013421734093746</v>
      </c>
      <c r="W21" s="6">
        <f t="shared" si="26"/>
        <v>0.95127506473890577</v>
      </c>
      <c r="X21" s="6">
        <f t="shared" si="26"/>
        <v>0.90371131150196049</v>
      </c>
      <c r="Y21" s="6">
        <f t="shared" si="26"/>
        <v>0.85852574592686237</v>
      </c>
      <c r="Z21" s="6">
        <f t="shared" si="26"/>
        <v>0.81559945863051919</v>
      </c>
      <c r="AA21" s="6">
        <f t="shared" si="10"/>
        <v>0.68682059674148999</v>
      </c>
      <c r="AB21" s="6">
        <f t="shared" si="11"/>
        <v>0.65247956690441544</v>
      </c>
      <c r="AC21" s="5">
        <f t="shared" si="12"/>
        <v>0.42712723677953357</v>
      </c>
      <c r="AD21" s="5">
        <f t="shared" si="13"/>
        <v>-0.57287276322046643</v>
      </c>
      <c r="AE21" s="5">
        <f t="shared" si="14"/>
        <v>0.40577087494055686</v>
      </c>
      <c r="AF21" s="5">
        <f t="shared" si="15"/>
        <v>-0.59422912505944314</v>
      </c>
      <c r="AG21" s="6">
        <v>0.99</v>
      </c>
    </row>
  </sheetData>
  <mergeCells count="3">
    <mergeCell ref="B4:K4"/>
    <mergeCell ref="L4:Z4"/>
    <mergeCell ref="AA4:AG4"/>
  </mergeCells>
  <phoneticPr fontId="1" type="noConversion"/>
  <pageMargins left="0.7" right="0.7" top="0.75" bottom="0.75" header="0.3" footer="0.3"/>
  <pageSetup paperSize="9" orientation="portrait" r:id="rId1"/>
  <ignoredErrors>
    <ignoredError sqref="AE6 AE8:AE15 O8:O15 AE16:AE19 O16:O19 AE20:AE21 O20:O21 Q14:Z1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Aging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2026-09-29T02:02:05Z</dcterms:created>
  <dcterms:modified xsi:type="dcterms:W3CDTF">2026-09-30T00:36:40Z</dcterms:modified>
</cp:coreProperties>
</file>