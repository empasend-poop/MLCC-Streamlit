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69355EB-292C-4060-A20B-61DD4C759806}" xr6:coauthVersionLast="47" xr6:coauthVersionMax="47" xr10:uidLastSave="{00000000-0000-0000-0000-000000000000}"/>
  <bookViews>
    <workbookView xWindow="-120" yWindow="-120" windowWidth="29040" windowHeight="15720" activeTab="2" xr2:uid="{DD21264B-7F4D-4808-A1EE-9D5B44D53BA3}"/>
  </bookViews>
  <sheets>
    <sheet name="수명" sheetId="2" r:id="rId1"/>
    <sheet name="Aging" sheetId="3" r:id="rId2"/>
    <sheet name="BDV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0" i="4" l="1"/>
  <c r="T18" i="4"/>
  <c r="T17" i="4"/>
  <c r="T16" i="4"/>
  <c r="T15" i="4"/>
  <c r="T14" i="4"/>
  <c r="T13" i="4"/>
  <c r="T8" i="4"/>
  <c r="S23" i="4"/>
  <c r="R23" i="4"/>
  <c r="Q23" i="4"/>
  <c r="S22" i="4"/>
  <c r="R22" i="4"/>
  <c r="Q20" i="4"/>
  <c r="S19" i="4"/>
  <c r="R19" i="4"/>
  <c r="Q19" i="4"/>
  <c r="S18" i="4"/>
  <c r="R18" i="4"/>
  <c r="Q16" i="4"/>
  <c r="S15" i="4"/>
  <c r="R15" i="4"/>
  <c r="Q15" i="4"/>
  <c r="S14" i="4"/>
  <c r="R14" i="4"/>
  <c r="Q12" i="4"/>
  <c r="S11" i="4"/>
  <c r="R11" i="4"/>
  <c r="Q11" i="4"/>
  <c r="S10" i="4"/>
  <c r="R10" i="4"/>
  <c r="Q8" i="4"/>
  <c r="S7" i="4"/>
  <c r="R7" i="4"/>
  <c r="Q7" i="4"/>
  <c r="S6" i="4"/>
  <c r="R6" i="4"/>
  <c r="P23" i="4"/>
  <c r="O23" i="4"/>
  <c r="N23" i="4"/>
  <c r="T23" i="4" s="1"/>
  <c r="P22" i="4"/>
  <c r="O22" i="4"/>
  <c r="N22" i="4"/>
  <c r="T22" i="4" s="1"/>
  <c r="P21" i="4"/>
  <c r="S21" i="4" s="1"/>
  <c r="O21" i="4"/>
  <c r="R21" i="4" s="1"/>
  <c r="N21" i="4"/>
  <c r="T21" i="4" s="1"/>
  <c r="P20" i="4"/>
  <c r="S20" i="4" s="1"/>
  <c r="O20" i="4"/>
  <c r="R20" i="4" s="1"/>
  <c r="N20" i="4"/>
  <c r="P19" i="4"/>
  <c r="O19" i="4"/>
  <c r="N19" i="4"/>
  <c r="T19" i="4" s="1"/>
  <c r="P18" i="4"/>
  <c r="O18" i="4"/>
  <c r="N18" i="4"/>
  <c r="Q18" i="4" s="1"/>
  <c r="P17" i="4"/>
  <c r="S17" i="4" s="1"/>
  <c r="O17" i="4"/>
  <c r="R17" i="4" s="1"/>
  <c r="N17" i="4"/>
  <c r="Q17" i="4" s="1"/>
  <c r="P16" i="4"/>
  <c r="S16" i="4" s="1"/>
  <c r="O16" i="4"/>
  <c r="R16" i="4" s="1"/>
  <c r="N16" i="4"/>
  <c r="P15" i="4"/>
  <c r="O15" i="4"/>
  <c r="N15" i="4"/>
  <c r="P14" i="4"/>
  <c r="O14" i="4"/>
  <c r="N14" i="4"/>
  <c r="Q14" i="4" s="1"/>
  <c r="P13" i="4"/>
  <c r="S13" i="4" s="1"/>
  <c r="O13" i="4"/>
  <c r="R13" i="4" s="1"/>
  <c r="N13" i="4"/>
  <c r="Q13" i="4" s="1"/>
  <c r="P12" i="4"/>
  <c r="S12" i="4" s="1"/>
  <c r="O12" i="4"/>
  <c r="R12" i="4" s="1"/>
  <c r="N12" i="4"/>
  <c r="T12" i="4" s="1"/>
  <c r="P11" i="4"/>
  <c r="O11" i="4"/>
  <c r="N11" i="4"/>
  <c r="T11" i="4" s="1"/>
  <c r="P10" i="4"/>
  <c r="O10" i="4"/>
  <c r="N10" i="4"/>
  <c r="Q10" i="4" s="1"/>
  <c r="P9" i="4"/>
  <c r="S9" i="4" s="1"/>
  <c r="O9" i="4"/>
  <c r="R9" i="4" s="1"/>
  <c r="N9" i="4"/>
  <c r="T9" i="4" s="1"/>
  <c r="P8" i="4"/>
  <c r="S8" i="4" s="1"/>
  <c r="O8" i="4"/>
  <c r="R8" i="4" s="1"/>
  <c r="N8" i="4"/>
  <c r="P7" i="4"/>
  <c r="O7" i="4"/>
  <c r="N7" i="4"/>
  <c r="T7" i="4" s="1"/>
  <c r="P6" i="4"/>
  <c r="O6" i="4"/>
  <c r="N6" i="4"/>
  <c r="T6" i="4" s="1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AE23" i="3"/>
  <c r="AF23" i="3" s="1"/>
  <c r="AC23" i="3"/>
  <c r="AD23" i="3" s="1"/>
  <c r="AE22" i="3"/>
  <c r="AF22" i="3" s="1"/>
  <c r="AC18" i="3"/>
  <c r="AD18" i="3" s="1"/>
  <c r="AC22" i="3"/>
  <c r="AD22" i="3" s="1"/>
  <c r="AA22" i="3"/>
  <c r="AE21" i="3"/>
  <c r="AF21" i="3" s="1"/>
  <c r="AC21" i="3"/>
  <c r="AD21" i="3" s="1"/>
  <c r="AB21" i="3"/>
  <c r="AA21" i="3"/>
  <c r="AE20" i="3"/>
  <c r="AF20" i="3" s="1"/>
  <c r="AC20" i="3"/>
  <c r="AD20" i="3" s="1"/>
  <c r="AB20" i="3"/>
  <c r="AA20" i="3"/>
  <c r="AE18" i="3"/>
  <c r="AF18" i="3" s="1"/>
  <c r="AB18" i="3"/>
  <c r="AA18" i="3"/>
  <c r="AE17" i="3"/>
  <c r="AF17" i="3" s="1"/>
  <c r="AC17" i="3"/>
  <c r="AD17" i="3" s="1"/>
  <c r="AB17" i="3"/>
  <c r="AA17" i="3"/>
  <c r="AE16" i="3"/>
  <c r="AF16" i="3" s="1"/>
  <c r="AC16" i="3"/>
  <c r="AD16" i="3" s="1"/>
  <c r="AB16" i="3"/>
  <c r="AA16" i="3"/>
  <c r="AE15" i="3"/>
  <c r="AF15" i="3" s="1"/>
  <c r="AC15" i="3"/>
  <c r="AD15" i="3" s="1"/>
  <c r="AB15" i="3"/>
  <c r="AA15" i="3"/>
  <c r="AE14" i="3"/>
  <c r="AF14" i="3" s="1"/>
  <c r="AC14" i="3"/>
  <c r="AD14" i="3" s="1"/>
  <c r="AB14" i="3"/>
  <c r="AA14" i="3"/>
  <c r="AE13" i="3"/>
  <c r="AF13" i="3" s="1"/>
  <c r="AC13" i="3"/>
  <c r="AD13" i="3" s="1"/>
  <c r="AB13" i="3"/>
  <c r="AA13" i="3"/>
  <c r="AE12" i="3"/>
  <c r="AF12" i="3" s="1"/>
  <c r="AC12" i="3"/>
  <c r="AD12" i="3" s="1"/>
  <c r="AB12" i="3"/>
  <c r="AA12" i="3"/>
  <c r="AE11" i="3"/>
  <c r="AF11" i="3" s="1"/>
  <c r="AC11" i="3"/>
  <c r="AD11" i="3" s="1"/>
  <c r="AB11" i="3"/>
  <c r="AA11" i="3"/>
  <c r="AE10" i="3"/>
  <c r="AF10" i="3" s="1"/>
  <c r="AC10" i="3"/>
  <c r="AD10" i="3" s="1"/>
  <c r="AB10" i="3"/>
  <c r="AA10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AE9" i="3"/>
  <c r="AF9" i="3" s="1"/>
  <c r="AC9" i="3"/>
  <c r="AD9" i="3" s="1"/>
  <c r="AB9" i="3"/>
  <c r="AA9" i="3"/>
  <c r="O9" i="3"/>
  <c r="AE8" i="3"/>
  <c r="AF8" i="3" s="1"/>
  <c r="AC8" i="3"/>
  <c r="AD8" i="3" s="1"/>
  <c r="AB8" i="3"/>
  <c r="AA8" i="3"/>
  <c r="O8" i="3"/>
  <c r="O7" i="3"/>
  <c r="AE7" i="3"/>
  <c r="AF7" i="3" s="1"/>
  <c r="AC7" i="3"/>
  <c r="AD7" i="3" s="1"/>
  <c r="AB7" i="3"/>
  <c r="AA7" i="3"/>
  <c r="Q16" i="2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Q15" i="2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Q14" i="2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Q13" i="2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Q12" i="2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Q11" i="2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Q10" i="2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Q9" i="2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Q8" i="2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T10" i="4" l="1"/>
  <c r="Q6" i="4"/>
  <c r="Q22" i="4"/>
  <c r="Q9" i="4"/>
  <c r="Q21" i="4"/>
  <c r="AA23" i="3"/>
  <c r="AB23" i="3"/>
  <c r="AB22" i="3"/>
  <c r="AC24" i="3" l="1"/>
  <c r="AD24" i="3" s="1"/>
  <c r="AA24" i="3"/>
  <c r="AE19" i="3"/>
  <c r="AF19" i="3" s="1"/>
  <c r="AB19" i="3"/>
  <c r="AB24" i="3"/>
  <c r="AE24" i="3"/>
  <c r="AF24" i="3" s="1"/>
  <c r="AC19" i="3"/>
  <c r="AD19" i="3" s="1"/>
  <c r="AA19" i="3"/>
</calcChain>
</file>

<file path=xl/sharedStrings.xml><?xml version="1.0" encoding="utf-8"?>
<sst xmlns="http://schemas.openxmlformats.org/spreadsheetml/2006/main" count="344" uniqueCount="115">
  <si>
    <t>부품사</t>
    <phoneticPr fontId="1" type="noConversion"/>
  </si>
  <si>
    <t>자재코드</t>
    <phoneticPr fontId="1" type="noConversion"/>
  </si>
  <si>
    <t>태양유전</t>
    <phoneticPr fontId="1" type="noConversion"/>
  </si>
  <si>
    <t>무라타</t>
    <phoneticPr fontId="1" type="noConversion"/>
  </si>
  <si>
    <t>삼성전기</t>
    <phoneticPr fontId="1" type="noConversion"/>
  </si>
  <si>
    <t>Ea</t>
    <phoneticPr fontId="1" type="noConversion"/>
  </si>
  <si>
    <t>n</t>
    <phoneticPr fontId="1" type="noConversion"/>
  </si>
  <si>
    <t>2203-008953</t>
    <phoneticPr fontId="1" type="noConversion"/>
  </si>
  <si>
    <t>2203-007317</t>
    <phoneticPr fontId="1" type="noConversion"/>
  </si>
  <si>
    <t>2203-010255</t>
    <phoneticPr fontId="1" type="noConversion"/>
  </si>
  <si>
    <t>부품사코드</t>
    <phoneticPr fontId="1" type="noConversion"/>
  </si>
  <si>
    <t>Grade</t>
    <phoneticPr fontId="1" type="noConversion"/>
  </si>
  <si>
    <t>정격전압(V)</t>
    <phoneticPr fontId="1" type="noConversion"/>
  </si>
  <si>
    <t>정격용량(uF)</t>
    <phoneticPr fontId="1" type="noConversion"/>
  </si>
  <si>
    <t>Size</t>
    <phoneticPr fontId="1" type="noConversion"/>
  </si>
  <si>
    <t>사용전압(V)</t>
    <phoneticPr fontId="1" type="noConversion"/>
  </si>
  <si>
    <t>Bx수명</t>
    <phoneticPr fontId="1" type="noConversion"/>
  </si>
  <si>
    <t>형상모수</t>
    <phoneticPr fontId="1" type="noConversion"/>
  </si>
  <si>
    <t>척도모수</t>
    <phoneticPr fontId="1" type="noConversion"/>
  </si>
  <si>
    <t>65℃</t>
    <phoneticPr fontId="1" type="noConversion"/>
  </si>
  <si>
    <t>70℃</t>
    <phoneticPr fontId="1" type="noConversion"/>
  </si>
  <si>
    <t>75℃</t>
    <phoneticPr fontId="1" type="noConversion"/>
  </si>
  <si>
    <t>80℃</t>
    <phoneticPr fontId="1" type="noConversion"/>
  </si>
  <si>
    <t>85℃</t>
    <phoneticPr fontId="1" type="noConversion"/>
  </si>
  <si>
    <t>90℃</t>
    <phoneticPr fontId="1" type="noConversion"/>
  </si>
  <si>
    <t>95℃</t>
    <phoneticPr fontId="1" type="noConversion"/>
  </si>
  <si>
    <t>100℃</t>
    <phoneticPr fontId="1" type="noConversion"/>
  </si>
  <si>
    <t>105℃</t>
    <phoneticPr fontId="1" type="noConversion"/>
  </si>
  <si>
    <t>110℃</t>
    <phoneticPr fontId="1" type="noConversion"/>
  </si>
  <si>
    <t>115℃</t>
    <phoneticPr fontId="1" type="noConversion"/>
  </si>
  <si>
    <t>120℃</t>
    <phoneticPr fontId="1" type="noConversion"/>
  </si>
  <si>
    <t>125℃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</si>
  <si>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</si>
  <si>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</si>
  <si>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</si>
  <si>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</si>
  <si>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</si>
  <si>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</si>
  <si>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</si>
  <si>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</si>
  <si>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</si>
  <si>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X5R</t>
    <phoneticPr fontId="1" type="noConversion"/>
  </si>
  <si>
    <t>X6S</t>
    <phoneticPr fontId="1" type="noConversion"/>
  </si>
  <si>
    <t>B0.1</t>
    <phoneticPr fontId="1" type="noConversion"/>
  </si>
  <si>
    <t>시험전압</t>
    <phoneticPr fontId="1" type="noConversion"/>
  </si>
  <si>
    <t>시험온도</t>
    <phoneticPr fontId="1" type="noConversion"/>
  </si>
  <si>
    <t>① 25℃, 0V</t>
    <phoneticPr fontId="1" type="noConversion"/>
  </si>
  <si>
    <t>③ 고온+DC Bias</t>
    <phoneticPr fontId="1" type="noConversion"/>
  </si>
  <si>
    <t>△C 
(①-③)/①</t>
    <phoneticPr fontId="1" type="noConversion"/>
  </si>
  <si>
    <t>24hr</t>
    <phoneticPr fontId="1" type="noConversion"/>
  </si>
  <si>
    <t>48hr</t>
    <phoneticPr fontId="1" type="noConversion"/>
  </si>
  <si>
    <t>72hr</t>
    <phoneticPr fontId="1" type="noConversion"/>
  </si>
  <si>
    <t>96hr</t>
    <phoneticPr fontId="1" type="noConversion"/>
  </si>
  <si>
    <t>200hr</t>
    <phoneticPr fontId="1" type="noConversion"/>
  </si>
  <si>
    <t>500hr</t>
    <phoneticPr fontId="1" type="noConversion"/>
  </si>
  <si>
    <t>1,000hr</t>
    <phoneticPr fontId="1" type="noConversion"/>
  </si>
  <si>
    <t>8,760hr</t>
    <phoneticPr fontId="1" type="noConversion"/>
  </si>
  <si>
    <t>43,800hr</t>
    <phoneticPr fontId="1" type="noConversion"/>
  </si>
  <si>
    <t>61,320hr</t>
    <phoneticPr fontId="1" type="noConversion"/>
  </si>
  <si>
    <t>87,600hr</t>
    <phoneticPr fontId="1" type="noConversion"/>
  </si>
  <si>
    <t>10년
(-20%반영)</t>
    <phoneticPr fontId="1" type="noConversion"/>
  </si>
  <si>
    <t>7년 
(-20%반영)</t>
    <phoneticPr fontId="1" type="noConversion"/>
  </si>
  <si>
    <t>업데이트일자</t>
    <phoneticPr fontId="1" type="noConversion"/>
  </si>
  <si>
    <t>결정계수 (R^2)</t>
    <phoneticPr fontId="1" type="noConversion"/>
  </si>
  <si>
    <t>MLCC 정보</t>
    <phoneticPr fontId="1" type="noConversion"/>
  </si>
  <si>
    <t>가속평가 기반, 수명산출결과</t>
    <phoneticPr fontId="1" type="noConversion"/>
  </si>
  <si>
    <t>MLCC 및 평가정보</t>
    <phoneticPr fontId="1" type="noConversion"/>
  </si>
  <si>
    <t>Aging 평가기반, 시간경과에 따른 잔여용량</t>
    <phoneticPr fontId="1" type="noConversion"/>
  </si>
  <si>
    <t>7년
잔여율</t>
    <phoneticPr fontId="1" type="noConversion"/>
  </si>
  <si>
    <t>7년
감소율</t>
    <phoneticPr fontId="1" type="noConversion"/>
  </si>
  <si>
    <t>10년
잔여율</t>
    <phoneticPr fontId="1" type="noConversion"/>
  </si>
  <si>
    <t>10년
감소율</t>
    <phoneticPr fontId="1" type="noConversion"/>
  </si>
  <si>
    <t>평가결과 요약</t>
    <phoneticPr fontId="1" type="noConversion"/>
  </si>
  <si>
    <t>2026.06.04</t>
    <phoneticPr fontId="1" type="noConversion"/>
  </si>
  <si>
    <t>2026.08.11</t>
    <phoneticPr fontId="1" type="noConversion"/>
  </si>
  <si>
    <t>②고온+No Bias</t>
    <phoneticPr fontId="1" type="noConversion"/>
  </si>
  <si>
    <t>BDV평가수량</t>
    <phoneticPr fontId="1" type="noConversion"/>
  </si>
  <si>
    <t>BDV평가온도</t>
    <phoneticPr fontId="1" type="noConversion"/>
  </si>
  <si>
    <t>BDV 결과 (Typ.)</t>
    <phoneticPr fontId="1" type="noConversion"/>
  </si>
  <si>
    <t>정격대비수준</t>
    <phoneticPr fontId="1" type="noConversion"/>
  </si>
  <si>
    <t>Lower</t>
    <phoneticPr fontId="1" type="noConversion"/>
  </si>
  <si>
    <t>Typ.</t>
    <phoneticPr fontId="1" type="noConversion"/>
  </si>
  <si>
    <t>Upper</t>
    <phoneticPr fontId="1" type="noConversion"/>
  </si>
  <si>
    <t>BDV 평가결과</t>
    <phoneticPr fontId="1" type="noConversion"/>
  </si>
  <si>
    <t>Bx(0.0001)</t>
    <phoneticPr fontId="1" type="noConversion"/>
  </si>
  <si>
    <t>Bx(0.001)</t>
    <phoneticPr fontId="1" type="noConversion"/>
  </si>
  <si>
    <t>정격/1ppm 하한값</t>
    <phoneticPr fontId="1" type="noConversion"/>
  </si>
  <si>
    <t>Outlier 제거여부</t>
    <phoneticPr fontId="1" type="noConversion"/>
  </si>
  <si>
    <t>2203-003281</t>
    <phoneticPr fontId="1" type="noConversion"/>
  </si>
  <si>
    <t>2203-008087</t>
    <phoneticPr fontId="1" type="noConversion"/>
  </si>
  <si>
    <t>2203-000699</t>
    <phoneticPr fontId="1" type="noConversion"/>
  </si>
  <si>
    <t>2203-010667</t>
    <phoneticPr fontId="1" type="noConversion"/>
  </si>
  <si>
    <t>A1</t>
    <phoneticPr fontId="1" type="noConversion"/>
  </si>
  <si>
    <t>B1</t>
    <phoneticPr fontId="1" type="noConversion"/>
  </si>
  <si>
    <t>C1</t>
    <phoneticPr fontId="1" type="noConversion"/>
  </si>
  <si>
    <t>D2</t>
    <phoneticPr fontId="1" type="noConversion"/>
  </si>
  <si>
    <t>E2</t>
    <phoneticPr fontId="1" type="noConversion"/>
  </si>
  <si>
    <t>F2</t>
    <phoneticPr fontId="1" type="noConversion"/>
  </si>
  <si>
    <t>G5</t>
    <phoneticPr fontId="1" type="noConversion"/>
  </si>
  <si>
    <t>H5</t>
    <phoneticPr fontId="1" type="noConversion"/>
  </si>
  <si>
    <t>I4</t>
    <phoneticPr fontId="1" type="noConversion"/>
  </si>
  <si>
    <t>G4</t>
    <phoneticPr fontId="1" type="noConversion"/>
  </si>
  <si>
    <t>F5</t>
    <phoneticPr fontId="1" type="noConversion"/>
  </si>
  <si>
    <t>D5</t>
    <phoneticPr fontId="1" type="noConversion"/>
  </si>
  <si>
    <t>E5</t>
    <phoneticPr fontId="1" type="noConversion"/>
  </si>
  <si>
    <t>C4</t>
    <phoneticPr fontId="1" type="noConversion"/>
  </si>
  <si>
    <t>B8</t>
    <phoneticPr fontId="1" type="noConversion"/>
  </si>
  <si>
    <t>A8</t>
    <phoneticPr fontId="1" type="noConversion"/>
  </si>
  <si>
    <t>Y</t>
    <phoneticPr fontId="1" type="noConversion"/>
  </si>
  <si>
    <t>N</t>
    <phoneticPr fontId="1" type="noConversion"/>
  </si>
  <si>
    <t xml:space="preserve">수명 dashboard 요구사항
1. 부품사 -&gt; 자재코드 -&gt; 사용전압(V) 순으로 선택 가능하게끔 
2. 1번 선택 이후 excel에 있는 데이터를 깔끔하게 정보표현
3. '가속평가 기반, 수명산출결과' 와 부품사 간 동일한 자재코드 수명비교 그래프 추가 </t>
    <phoneticPr fontId="1" type="noConversion"/>
  </si>
  <si>
    <t xml:space="preserve">Aging dashboard 요구사항
1. 부품사 -&gt; 자재코드 -&gt; 사용전압(V) 순으로 선택 가능하게끔 
2. 1번 선택 이후 excel에 있는 데이터를 깔끔하게 정보표현
3. 'Aging평가 기반, 시간경과에 따른 잔여용량'에 따라 시간에 따른 그래프 표현 (회귀분석 및 외삽법 활용)
4. 부품사 간 동일한 자재코드 수명비교 그래프 추가 </t>
    <phoneticPr fontId="1" type="noConversion"/>
  </si>
  <si>
    <t>BDV 1ppm전압</t>
    <phoneticPr fontId="1" type="noConversion"/>
  </si>
  <si>
    <t>BDV 10ppm전압</t>
    <phoneticPr fontId="1" type="noConversion"/>
  </si>
  <si>
    <t xml:space="preserve">BDV dashboard 요구사항
1. 부품사 -&gt; 자재코드 순으로 선택 가능하게끔 
2. 1번 선택 이후 excel에 있는 데이터를 깔끔하게 정보표현
3. BDV 1ppm 전압과 정격전압과의 비교 (비율) 추가 (정격/1PPM 하한값 등)
4. 부품사 간 동일한 자재코드 BDV 비교 그래프 추가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</si>
</sst>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8AFE-B497-43E0-AE0E-0A12B5259453}">
  <dimension ref="B2:AB16"/>
  <sheetViews>
    <sheetView showGridLines="0" zoomScaleNormal="100" workbookViewId="0">
      <selection activeCell="B3" sqref="B3"/>
    </sheetView>
  </sheetViews>
  <sheetFormatPr defaultRowHeight="16.5" x14ac:dyDescent="0.3"/>
  <cols>
    <col min="1" max="1" width="3.625" style="1" customWidth="1"/>
    <col min="2" max="2" width="13" style="1" bestFit="1" customWidth="1"/>
    <col min="3" max="3" width="12.5" style="1" bestFit="1" customWidth="1"/>
    <col min="4" max="4" width="9" style="1"/>
    <col min="5" max="5" width="14.25" style="1" customWidth="1"/>
    <col min="6" max="6" width="6.625" style="1" bestFit="1" customWidth="1"/>
    <col min="7" max="7" width="11.625" style="1" bestFit="1" customWidth="1"/>
    <col min="8" max="8" width="12.5" style="1" bestFit="1" customWidth="1"/>
    <col min="9" max="9" width="7.125" style="1" customWidth="1"/>
    <col min="10" max="10" width="11.625" style="1" bestFit="1" customWidth="1"/>
    <col min="11" max="11" width="7.25" style="1" bestFit="1" customWidth="1"/>
    <col min="12" max="13" width="7.25" style="1" customWidth="1"/>
    <col min="14" max="15" width="9" style="1" bestFit="1" customWidth="1"/>
    <col min="16" max="27" width="9.875" style="1" customWidth="1"/>
    <col min="28" max="16384" width="9" style="1"/>
  </cols>
  <sheetData>
    <row r="2" spans="2:28" ht="97.5" customHeight="1" x14ac:dyDescent="0.3">
      <c r="B2" s="16" t="s">
        <v>110</v>
      </c>
      <c r="C2" s="17"/>
      <c r="D2" s="17"/>
      <c r="E2" s="17"/>
      <c r="F2" s="17"/>
      <c r="G2" s="17"/>
      <c r="H2" s="17"/>
      <c r="I2" s="17"/>
      <c r="J2" s="17"/>
      <c r="K2" s="18"/>
    </row>
    <row r="6" spans="2:28" x14ac:dyDescent="0.3">
      <c r="B6" s="12" t="s">
        <v>64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9" t="s">
        <v>65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2:28" x14ac:dyDescent="0.3">
      <c r="B7" s="3" t="s">
        <v>62</v>
      </c>
      <c r="C7" s="3" t="s">
        <v>1</v>
      </c>
      <c r="D7" s="3" t="s">
        <v>0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5</v>
      </c>
      <c r="M7" s="3" t="s">
        <v>6</v>
      </c>
      <c r="N7" s="3" t="s">
        <v>17</v>
      </c>
      <c r="O7" s="3" t="s">
        <v>18</v>
      </c>
      <c r="P7" s="3" t="s">
        <v>19</v>
      </c>
      <c r="Q7" s="3" t="s">
        <v>20</v>
      </c>
      <c r="R7" s="3" t="s">
        <v>21</v>
      </c>
      <c r="S7" s="3" t="s">
        <v>22</v>
      </c>
      <c r="T7" s="3" t="s">
        <v>23</v>
      </c>
      <c r="U7" s="3" t="s">
        <v>24</v>
      </c>
      <c r="V7" s="3" t="s">
        <v>25</v>
      </c>
      <c r="W7" s="3" t="s">
        <v>26</v>
      </c>
      <c r="X7" s="3" t="s">
        <v>27</v>
      </c>
      <c r="Y7" s="3" t="s">
        <v>28</v>
      </c>
      <c r="Z7" s="3" t="s">
        <v>29</v>
      </c>
      <c r="AA7" s="3" t="s">
        <v>30</v>
      </c>
      <c r="AB7" s="3" t="s">
        <v>31</v>
      </c>
    </row>
    <row r="8" spans="2:28" x14ac:dyDescent="0.3">
      <c r="B8" s="2" t="s">
        <v>73</v>
      </c>
      <c r="C8" s="2" t="s">
        <v>8</v>
      </c>
      <c r="D8" s="2" t="s">
        <v>2</v>
      </c>
      <c r="E8" s="2" t="s">
        <v>32</v>
      </c>
      <c r="F8" s="2" t="s">
        <v>41</v>
      </c>
      <c r="G8" s="2">
        <v>6.3</v>
      </c>
      <c r="H8" s="2">
        <v>47</v>
      </c>
      <c r="I8" s="2">
        <v>1005</v>
      </c>
      <c r="J8" s="2">
        <v>1.8</v>
      </c>
      <c r="K8" s="2" t="s">
        <v>43</v>
      </c>
      <c r="L8" s="2">
        <v>4.4000000000000004</v>
      </c>
      <c r="M8" s="2">
        <v>3.3</v>
      </c>
      <c r="N8" s="2">
        <v>6.5</v>
      </c>
      <c r="O8" s="2">
        <v>234</v>
      </c>
      <c r="P8" s="2">
        <v>1000</v>
      </c>
      <c r="Q8" s="2">
        <f t="shared" ref="Q8:AB8" si="0">P8/2</f>
        <v>500</v>
      </c>
      <c r="R8" s="2">
        <f t="shared" si="0"/>
        <v>250</v>
      </c>
      <c r="S8" s="2">
        <f t="shared" si="0"/>
        <v>125</v>
      </c>
      <c r="T8" s="2">
        <f t="shared" si="0"/>
        <v>62.5</v>
      </c>
      <c r="U8" s="2">
        <f t="shared" si="0"/>
        <v>31.25</v>
      </c>
      <c r="V8" s="2">
        <f t="shared" si="0"/>
        <v>15.625</v>
      </c>
      <c r="W8" s="2">
        <f t="shared" si="0"/>
        <v>7.8125</v>
      </c>
      <c r="X8" s="2">
        <f t="shared" si="0"/>
        <v>3.90625</v>
      </c>
      <c r="Y8" s="2">
        <f t="shared" si="0"/>
        <v>1.953125</v>
      </c>
      <c r="Z8" s="2">
        <f t="shared" si="0"/>
        <v>0.9765625</v>
      </c>
      <c r="AA8" s="2">
        <f t="shared" si="0"/>
        <v>0.48828125</v>
      </c>
      <c r="AB8" s="2">
        <f t="shared" si="0"/>
        <v>0.244140625</v>
      </c>
    </row>
    <row r="9" spans="2:28" x14ac:dyDescent="0.3">
      <c r="B9" s="2" t="s">
        <v>73</v>
      </c>
      <c r="C9" s="2" t="s">
        <v>7</v>
      </c>
      <c r="D9" s="2" t="s">
        <v>2</v>
      </c>
      <c r="E9" s="2" t="s">
        <v>33</v>
      </c>
      <c r="F9" s="2" t="s">
        <v>41</v>
      </c>
      <c r="G9" s="2">
        <v>4</v>
      </c>
      <c r="H9" s="2">
        <v>4.7</v>
      </c>
      <c r="I9" s="2">
        <v>1608</v>
      </c>
      <c r="J9" s="2">
        <v>2</v>
      </c>
      <c r="K9" s="2" t="s">
        <v>43</v>
      </c>
      <c r="L9" s="2">
        <v>2.2000000000000002</v>
      </c>
      <c r="M9" s="2">
        <v>4.3</v>
      </c>
      <c r="N9" s="2">
        <v>45.2</v>
      </c>
      <c r="O9" s="2">
        <v>5634</v>
      </c>
      <c r="P9" s="2">
        <v>2030</v>
      </c>
      <c r="Q9" s="2">
        <f t="shared" ref="Q9:S16" si="1">P9/2</f>
        <v>1015</v>
      </c>
      <c r="R9" s="2">
        <f t="shared" si="1"/>
        <v>507.5</v>
      </c>
      <c r="S9" s="2">
        <f t="shared" si="1"/>
        <v>253.75</v>
      </c>
      <c r="T9" s="2">
        <f t="shared" ref="T9:AB9" si="2">S9/2</f>
        <v>126.875</v>
      </c>
      <c r="U9" s="2">
        <f t="shared" si="2"/>
        <v>63.4375</v>
      </c>
      <c r="V9" s="2">
        <f t="shared" si="2"/>
        <v>31.71875</v>
      </c>
      <c r="W9" s="2">
        <f t="shared" si="2"/>
        <v>15.859375</v>
      </c>
      <c r="X9" s="2">
        <f t="shared" si="2"/>
        <v>7.9296875</v>
      </c>
      <c r="Y9" s="2">
        <f t="shared" si="2"/>
        <v>3.96484375</v>
      </c>
      <c r="Z9" s="2">
        <f t="shared" si="2"/>
        <v>1.982421875</v>
      </c>
      <c r="AA9" s="2">
        <f t="shared" si="2"/>
        <v>0.9912109375</v>
      </c>
      <c r="AB9" s="2">
        <f t="shared" si="2"/>
        <v>0.49560546875</v>
      </c>
    </row>
    <row r="10" spans="2:28" x14ac:dyDescent="0.3">
      <c r="B10" s="2" t="s">
        <v>73</v>
      </c>
      <c r="C10" s="2" t="s">
        <v>9</v>
      </c>
      <c r="D10" s="2" t="s">
        <v>2</v>
      </c>
      <c r="E10" s="2" t="s">
        <v>34</v>
      </c>
      <c r="F10" s="2" t="s">
        <v>42</v>
      </c>
      <c r="G10" s="2">
        <v>10</v>
      </c>
      <c r="H10" s="2">
        <v>10</v>
      </c>
      <c r="I10" s="2">
        <v>1608</v>
      </c>
      <c r="J10" s="2">
        <v>5</v>
      </c>
      <c r="K10" s="2" t="s">
        <v>43</v>
      </c>
      <c r="L10" s="2">
        <v>3.2</v>
      </c>
      <c r="M10" s="2">
        <v>3.1</v>
      </c>
      <c r="N10" s="2">
        <v>2.2999999999999998</v>
      </c>
      <c r="O10" s="2">
        <v>33</v>
      </c>
      <c r="P10" s="2">
        <v>50202</v>
      </c>
      <c r="Q10" s="2">
        <f t="shared" si="1"/>
        <v>25101</v>
      </c>
      <c r="R10" s="2">
        <f t="shared" si="1"/>
        <v>12550.5</v>
      </c>
      <c r="S10" s="2">
        <f t="shared" si="1"/>
        <v>6275.25</v>
      </c>
      <c r="T10" s="2">
        <f t="shared" ref="T10:AB10" si="3">S10/2</f>
        <v>3137.625</v>
      </c>
      <c r="U10" s="2">
        <f t="shared" si="3"/>
        <v>1568.8125</v>
      </c>
      <c r="V10" s="2">
        <f t="shared" si="3"/>
        <v>784.40625</v>
      </c>
      <c r="W10" s="2">
        <f t="shared" si="3"/>
        <v>392.203125</v>
      </c>
      <c r="X10" s="2">
        <f t="shared" si="3"/>
        <v>196.1015625</v>
      </c>
      <c r="Y10" s="2">
        <f t="shared" si="3"/>
        <v>98.05078125</v>
      </c>
      <c r="Z10" s="2">
        <f t="shared" si="3"/>
        <v>49.025390625</v>
      </c>
      <c r="AA10" s="2">
        <f t="shared" si="3"/>
        <v>24.5126953125</v>
      </c>
      <c r="AB10" s="2">
        <f t="shared" si="3"/>
        <v>12.25634765625</v>
      </c>
    </row>
    <row r="11" spans="2:28" x14ac:dyDescent="0.3">
      <c r="B11" s="2" t="s">
        <v>73</v>
      </c>
      <c r="C11" s="2" t="s">
        <v>8</v>
      </c>
      <c r="D11" s="2" t="s">
        <v>4</v>
      </c>
      <c r="E11" s="2" t="s">
        <v>35</v>
      </c>
      <c r="F11" s="2" t="s">
        <v>41</v>
      </c>
      <c r="G11" s="2">
        <v>6.3</v>
      </c>
      <c r="H11" s="2">
        <v>47</v>
      </c>
      <c r="I11" s="2">
        <v>1005</v>
      </c>
      <c r="J11" s="2">
        <v>1.8</v>
      </c>
      <c r="K11" s="2" t="s">
        <v>43</v>
      </c>
      <c r="L11" s="2">
        <v>4.3</v>
      </c>
      <c r="M11" s="2">
        <v>2.2999999999999998</v>
      </c>
      <c r="N11" s="2">
        <v>4.5</v>
      </c>
      <c r="O11" s="2">
        <v>215</v>
      </c>
      <c r="P11" s="2">
        <v>4005</v>
      </c>
      <c r="Q11" s="2">
        <f t="shared" si="1"/>
        <v>2002.5</v>
      </c>
      <c r="R11" s="2">
        <f t="shared" si="1"/>
        <v>1001.25</v>
      </c>
      <c r="S11" s="2">
        <f t="shared" si="1"/>
        <v>500.625</v>
      </c>
      <c r="T11" s="2">
        <f t="shared" ref="T11:AB11" si="4">S11/2</f>
        <v>250.3125</v>
      </c>
      <c r="U11" s="2">
        <f t="shared" si="4"/>
        <v>125.15625</v>
      </c>
      <c r="V11" s="2">
        <f t="shared" si="4"/>
        <v>62.578125</v>
      </c>
      <c r="W11" s="2">
        <f t="shared" si="4"/>
        <v>31.2890625</v>
      </c>
      <c r="X11" s="2">
        <f t="shared" si="4"/>
        <v>15.64453125</v>
      </c>
      <c r="Y11" s="2">
        <f t="shared" si="4"/>
        <v>7.822265625</v>
      </c>
      <c r="Z11" s="2">
        <f t="shared" si="4"/>
        <v>3.9111328125</v>
      </c>
      <c r="AA11" s="2">
        <f t="shared" si="4"/>
        <v>1.95556640625</v>
      </c>
      <c r="AB11" s="2">
        <f t="shared" si="4"/>
        <v>0.977783203125</v>
      </c>
    </row>
    <row r="12" spans="2:28" x14ac:dyDescent="0.3">
      <c r="B12" s="2" t="s">
        <v>73</v>
      </c>
      <c r="C12" s="2" t="s">
        <v>7</v>
      </c>
      <c r="D12" s="2" t="s">
        <v>4</v>
      </c>
      <c r="E12" s="2" t="s">
        <v>36</v>
      </c>
      <c r="F12" s="2" t="s">
        <v>41</v>
      </c>
      <c r="G12" s="2">
        <v>4</v>
      </c>
      <c r="H12" s="2">
        <v>4.7</v>
      </c>
      <c r="I12" s="2">
        <v>1608</v>
      </c>
      <c r="J12" s="2">
        <v>2</v>
      </c>
      <c r="K12" s="2" t="s">
        <v>43</v>
      </c>
      <c r="L12" s="2">
        <v>2.2999999999999998</v>
      </c>
      <c r="M12" s="2">
        <v>5.4</v>
      </c>
      <c r="N12" s="2">
        <v>8.6</v>
      </c>
      <c r="O12" s="2">
        <v>3434</v>
      </c>
      <c r="P12" s="2">
        <v>502</v>
      </c>
      <c r="Q12" s="2">
        <f t="shared" si="1"/>
        <v>251</v>
      </c>
      <c r="R12" s="2">
        <f t="shared" si="1"/>
        <v>125.5</v>
      </c>
      <c r="S12" s="2">
        <f t="shared" si="1"/>
        <v>62.75</v>
      </c>
      <c r="T12" s="2">
        <f t="shared" ref="T12:AB12" si="5">S12/2</f>
        <v>31.375</v>
      </c>
      <c r="U12" s="2">
        <f t="shared" si="5"/>
        <v>15.6875</v>
      </c>
      <c r="V12" s="2">
        <f t="shared" si="5"/>
        <v>7.84375</v>
      </c>
      <c r="W12" s="2">
        <f t="shared" si="5"/>
        <v>3.921875</v>
      </c>
      <c r="X12" s="2">
        <f t="shared" si="5"/>
        <v>1.9609375</v>
      </c>
      <c r="Y12" s="2">
        <f t="shared" si="5"/>
        <v>0.98046875</v>
      </c>
      <c r="Z12" s="2">
        <f t="shared" si="5"/>
        <v>0.490234375</v>
      </c>
      <c r="AA12" s="2">
        <f t="shared" si="5"/>
        <v>0.2451171875</v>
      </c>
      <c r="AB12" s="2">
        <f t="shared" si="5"/>
        <v>0.12255859375</v>
      </c>
    </row>
    <row r="13" spans="2:28" x14ac:dyDescent="0.3">
      <c r="B13" s="2" t="s">
        <v>73</v>
      </c>
      <c r="C13" s="2" t="s">
        <v>9</v>
      </c>
      <c r="D13" s="2" t="s">
        <v>4</v>
      </c>
      <c r="E13" s="2" t="s">
        <v>37</v>
      </c>
      <c r="F13" s="2" t="s">
        <v>42</v>
      </c>
      <c r="G13" s="2">
        <v>10</v>
      </c>
      <c r="H13" s="2">
        <v>10</v>
      </c>
      <c r="I13" s="2">
        <v>1608</v>
      </c>
      <c r="J13" s="2">
        <v>5</v>
      </c>
      <c r="K13" s="2" t="s">
        <v>43</v>
      </c>
      <c r="L13" s="2">
        <v>2.5</v>
      </c>
      <c r="M13" s="2">
        <v>3.4</v>
      </c>
      <c r="N13" s="2">
        <v>44.6</v>
      </c>
      <c r="O13" s="2">
        <v>4</v>
      </c>
      <c r="P13" s="2">
        <v>60</v>
      </c>
      <c r="Q13" s="2">
        <f t="shared" si="1"/>
        <v>30</v>
      </c>
      <c r="R13" s="2">
        <f t="shared" si="1"/>
        <v>15</v>
      </c>
      <c r="S13" s="2">
        <f t="shared" si="1"/>
        <v>7.5</v>
      </c>
      <c r="T13" s="2">
        <f t="shared" ref="T13:AB13" si="6">S13/2</f>
        <v>3.75</v>
      </c>
      <c r="U13" s="2">
        <f t="shared" si="6"/>
        <v>1.875</v>
      </c>
      <c r="V13" s="2">
        <f t="shared" si="6"/>
        <v>0.9375</v>
      </c>
      <c r="W13" s="2">
        <f t="shared" si="6"/>
        <v>0.46875</v>
      </c>
      <c r="X13" s="2">
        <f t="shared" si="6"/>
        <v>0.234375</v>
      </c>
      <c r="Y13" s="2">
        <f t="shared" si="6"/>
        <v>0.1171875</v>
      </c>
      <c r="Z13" s="2">
        <f t="shared" si="6"/>
        <v>5.859375E-2</v>
      </c>
      <c r="AA13" s="2">
        <f t="shared" si="6"/>
        <v>2.9296875E-2</v>
      </c>
      <c r="AB13" s="2">
        <f t="shared" si="6"/>
        <v>1.46484375E-2</v>
      </c>
    </row>
    <row r="14" spans="2:28" x14ac:dyDescent="0.3">
      <c r="B14" s="2" t="s">
        <v>73</v>
      </c>
      <c r="C14" s="2" t="s">
        <v>8</v>
      </c>
      <c r="D14" s="2" t="s">
        <v>3</v>
      </c>
      <c r="E14" s="2" t="s">
        <v>38</v>
      </c>
      <c r="F14" s="2" t="s">
        <v>41</v>
      </c>
      <c r="G14" s="2">
        <v>6.3</v>
      </c>
      <c r="H14" s="2">
        <v>47</v>
      </c>
      <c r="I14" s="2">
        <v>1005</v>
      </c>
      <c r="J14" s="2">
        <v>1.8</v>
      </c>
      <c r="K14" s="2" t="s">
        <v>43</v>
      </c>
      <c r="L14" s="2">
        <v>6.4</v>
      </c>
      <c r="M14" s="2">
        <v>6.4</v>
      </c>
      <c r="N14" s="2">
        <v>77.599999999999994</v>
      </c>
      <c r="O14" s="2">
        <v>3435</v>
      </c>
      <c r="P14" s="2">
        <v>102</v>
      </c>
      <c r="Q14" s="2">
        <f t="shared" si="1"/>
        <v>51</v>
      </c>
      <c r="R14" s="2">
        <f t="shared" si="1"/>
        <v>25.5</v>
      </c>
      <c r="S14" s="2">
        <f t="shared" si="1"/>
        <v>12.75</v>
      </c>
      <c r="T14" s="2">
        <f t="shared" ref="T14:AB14" si="7">S14/2</f>
        <v>6.375</v>
      </c>
      <c r="U14" s="2">
        <f t="shared" si="7"/>
        <v>3.1875</v>
      </c>
      <c r="V14" s="2">
        <f t="shared" si="7"/>
        <v>1.59375</v>
      </c>
      <c r="W14" s="2">
        <f t="shared" si="7"/>
        <v>0.796875</v>
      </c>
      <c r="X14" s="2">
        <f t="shared" si="7"/>
        <v>0.3984375</v>
      </c>
      <c r="Y14" s="2">
        <f t="shared" si="7"/>
        <v>0.19921875</v>
      </c>
      <c r="Z14" s="2">
        <f t="shared" si="7"/>
        <v>9.9609375E-2</v>
      </c>
      <c r="AA14" s="2">
        <f t="shared" si="7"/>
        <v>4.98046875E-2</v>
      </c>
      <c r="AB14" s="2">
        <f t="shared" si="7"/>
        <v>2.490234375E-2</v>
      </c>
    </row>
    <row r="15" spans="2:28" x14ac:dyDescent="0.3">
      <c r="B15" s="2" t="s">
        <v>73</v>
      </c>
      <c r="C15" s="2" t="s">
        <v>7</v>
      </c>
      <c r="D15" s="2" t="s">
        <v>3</v>
      </c>
      <c r="E15" s="2" t="s">
        <v>39</v>
      </c>
      <c r="F15" s="2" t="s">
        <v>41</v>
      </c>
      <c r="G15" s="2">
        <v>4</v>
      </c>
      <c r="H15" s="2">
        <v>4.7</v>
      </c>
      <c r="I15" s="2">
        <v>1608</v>
      </c>
      <c r="J15" s="2">
        <v>2</v>
      </c>
      <c r="K15" s="2" t="s">
        <v>43</v>
      </c>
      <c r="L15" s="2">
        <v>3.2</v>
      </c>
      <c r="M15" s="2">
        <v>3.2</v>
      </c>
      <c r="N15" s="2">
        <v>2.4</v>
      </c>
      <c r="O15" s="2">
        <v>243</v>
      </c>
      <c r="P15" s="2">
        <v>235</v>
      </c>
      <c r="Q15" s="2">
        <f t="shared" si="1"/>
        <v>117.5</v>
      </c>
      <c r="R15" s="2">
        <f t="shared" si="1"/>
        <v>58.75</v>
      </c>
      <c r="S15" s="2">
        <f t="shared" si="1"/>
        <v>29.375</v>
      </c>
      <c r="T15" s="2">
        <f t="shared" ref="T15:AB15" si="8">S15/2</f>
        <v>14.6875</v>
      </c>
      <c r="U15" s="2">
        <f t="shared" si="8"/>
        <v>7.34375</v>
      </c>
      <c r="V15" s="2">
        <f t="shared" si="8"/>
        <v>3.671875</v>
      </c>
      <c r="W15" s="2">
        <f t="shared" si="8"/>
        <v>1.8359375</v>
      </c>
      <c r="X15" s="2">
        <f t="shared" si="8"/>
        <v>0.91796875</v>
      </c>
      <c r="Y15" s="2">
        <f t="shared" si="8"/>
        <v>0.458984375</v>
      </c>
      <c r="Z15" s="2">
        <f t="shared" si="8"/>
        <v>0.2294921875</v>
      </c>
      <c r="AA15" s="2">
        <f t="shared" si="8"/>
        <v>0.11474609375</v>
      </c>
      <c r="AB15" s="2">
        <f t="shared" si="8"/>
        <v>5.7373046875E-2</v>
      </c>
    </row>
    <row r="16" spans="2:28" x14ac:dyDescent="0.3">
      <c r="B16" s="2" t="s">
        <v>73</v>
      </c>
      <c r="C16" s="2" t="s">
        <v>9</v>
      </c>
      <c r="D16" s="2" t="s">
        <v>3</v>
      </c>
      <c r="E16" s="2" t="s">
        <v>40</v>
      </c>
      <c r="F16" s="2" t="s">
        <v>42</v>
      </c>
      <c r="G16" s="2">
        <v>10</v>
      </c>
      <c r="H16" s="2">
        <v>10</v>
      </c>
      <c r="I16" s="2">
        <v>1608</v>
      </c>
      <c r="J16" s="2">
        <v>5</v>
      </c>
      <c r="K16" s="2" t="s">
        <v>43</v>
      </c>
      <c r="L16" s="2">
        <v>4.3</v>
      </c>
      <c r="M16" s="2">
        <v>1.2</v>
      </c>
      <c r="N16" s="2">
        <v>32.1</v>
      </c>
      <c r="O16" s="2">
        <v>34</v>
      </c>
      <c r="P16" s="2">
        <v>532</v>
      </c>
      <c r="Q16" s="2">
        <f t="shared" si="1"/>
        <v>266</v>
      </c>
      <c r="R16" s="2">
        <f t="shared" si="1"/>
        <v>133</v>
      </c>
      <c r="S16" s="2">
        <f t="shared" si="1"/>
        <v>66.5</v>
      </c>
      <c r="T16" s="2">
        <f t="shared" ref="T16:AB16" si="9">S16/2</f>
        <v>33.25</v>
      </c>
      <c r="U16" s="2">
        <f t="shared" si="9"/>
        <v>16.625</v>
      </c>
      <c r="V16" s="2">
        <f t="shared" si="9"/>
        <v>8.3125</v>
      </c>
      <c r="W16" s="2">
        <f t="shared" si="9"/>
        <v>4.15625</v>
      </c>
      <c r="X16" s="2">
        <f t="shared" si="9"/>
        <v>2.078125</v>
      </c>
      <c r="Y16" s="2">
        <f t="shared" si="9"/>
        <v>1.0390625</v>
      </c>
      <c r="Z16" s="2">
        <f t="shared" si="9"/>
        <v>0.51953125</v>
      </c>
      <c r="AA16" s="2">
        <f t="shared" si="9"/>
        <v>0.259765625</v>
      </c>
      <c r="AB16" s="2">
        <f t="shared" si="9"/>
        <v>0.1298828125</v>
      </c>
    </row>
  </sheetData>
  <mergeCells count="3">
    <mergeCell ref="P6:AB6"/>
    <mergeCell ref="B6:O6"/>
    <mergeCell ref="B2:K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72E9-C86A-4F45-BBA1-030368046B35}">
  <dimension ref="B3:AG24"/>
  <sheetViews>
    <sheetView showGridLines="0" zoomScaleNormal="100" workbookViewId="0">
      <selection activeCell="B4" sqref="B4"/>
    </sheetView>
  </sheetViews>
  <sheetFormatPr defaultRowHeight="16.5" x14ac:dyDescent="0.3"/>
  <cols>
    <col min="1" max="1" width="4.375" style="1" customWidth="1"/>
    <col min="2" max="2" width="13" style="1" bestFit="1" customWidth="1"/>
    <col min="3" max="3" width="13.125" style="1" bestFit="1" customWidth="1"/>
    <col min="4" max="11" width="11.875" style="1" customWidth="1"/>
    <col min="12" max="12" width="12.125" style="1" customWidth="1"/>
    <col min="13" max="14" width="15.5" style="1" bestFit="1" customWidth="1"/>
    <col min="15" max="15" width="14" style="1" bestFit="1" customWidth="1"/>
    <col min="16" max="26" width="8.5" style="1" customWidth="1"/>
    <col min="27" max="28" width="11.875" style="1" customWidth="1"/>
    <col min="29" max="32" width="10" style="1" customWidth="1"/>
    <col min="33" max="33" width="14" style="1" customWidth="1"/>
    <col min="34" max="16384" width="9" style="1"/>
  </cols>
  <sheetData>
    <row r="3" spans="2:33" ht="129" customHeight="1" x14ac:dyDescent="0.3">
      <c r="B3" s="13" t="s">
        <v>111</v>
      </c>
      <c r="C3" s="13"/>
      <c r="D3" s="13"/>
      <c r="E3" s="13"/>
      <c r="F3" s="13"/>
      <c r="G3" s="13"/>
      <c r="H3" s="13"/>
      <c r="I3" s="13"/>
      <c r="J3" s="13"/>
      <c r="K3" s="13"/>
    </row>
    <row r="5" spans="2:33" x14ac:dyDescent="0.3">
      <c r="B5" s="9" t="s">
        <v>66</v>
      </c>
      <c r="C5" s="10"/>
      <c r="D5" s="10"/>
      <c r="E5" s="10"/>
      <c r="F5" s="10"/>
      <c r="G5" s="10"/>
      <c r="H5" s="10"/>
      <c r="I5" s="10"/>
      <c r="J5" s="10"/>
      <c r="K5" s="11"/>
      <c r="L5" s="9" t="s">
        <v>67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  <c r="AA5" s="9" t="s">
        <v>72</v>
      </c>
      <c r="AB5" s="10"/>
      <c r="AC5" s="10"/>
      <c r="AD5" s="10"/>
      <c r="AE5" s="10"/>
      <c r="AF5" s="10"/>
      <c r="AG5" s="11"/>
    </row>
    <row r="6" spans="2:33" ht="33" x14ac:dyDescent="0.3">
      <c r="B6" s="3" t="s">
        <v>62</v>
      </c>
      <c r="C6" s="3" t="s">
        <v>1</v>
      </c>
      <c r="D6" s="3" t="s">
        <v>0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44</v>
      </c>
      <c r="K6" s="3" t="s">
        <v>45</v>
      </c>
      <c r="L6" s="3" t="s">
        <v>46</v>
      </c>
      <c r="M6" s="3" t="s">
        <v>75</v>
      </c>
      <c r="N6" s="3" t="s">
        <v>47</v>
      </c>
      <c r="O6" s="4" t="s">
        <v>48</v>
      </c>
      <c r="P6" s="3" t="s">
        <v>49</v>
      </c>
      <c r="Q6" s="3" t="s">
        <v>50</v>
      </c>
      <c r="R6" s="3" t="s">
        <v>51</v>
      </c>
      <c r="S6" s="3" t="s">
        <v>52</v>
      </c>
      <c r="T6" s="3" t="s">
        <v>53</v>
      </c>
      <c r="U6" s="3" t="s">
        <v>54</v>
      </c>
      <c r="V6" s="3" t="s">
        <v>55</v>
      </c>
      <c r="W6" s="3" t="s">
        <v>56</v>
      </c>
      <c r="X6" s="3" t="s">
        <v>57</v>
      </c>
      <c r="Y6" s="3" t="s">
        <v>58</v>
      </c>
      <c r="Z6" s="3" t="s">
        <v>59</v>
      </c>
      <c r="AA6" s="4" t="s">
        <v>61</v>
      </c>
      <c r="AB6" s="4" t="s">
        <v>60</v>
      </c>
      <c r="AC6" s="4" t="s">
        <v>68</v>
      </c>
      <c r="AD6" s="4" t="s">
        <v>69</v>
      </c>
      <c r="AE6" s="4" t="s">
        <v>70</v>
      </c>
      <c r="AF6" s="4" t="s">
        <v>71</v>
      </c>
      <c r="AG6" s="4" t="s">
        <v>63</v>
      </c>
    </row>
    <row r="7" spans="2:33" x14ac:dyDescent="0.3">
      <c r="B7" s="2" t="s">
        <v>73</v>
      </c>
      <c r="C7" s="2" t="s">
        <v>8</v>
      </c>
      <c r="D7" s="2" t="s">
        <v>2</v>
      </c>
      <c r="E7" s="2" t="s">
        <v>32</v>
      </c>
      <c r="F7" s="2" t="s">
        <v>41</v>
      </c>
      <c r="G7" s="2">
        <v>6.3</v>
      </c>
      <c r="H7" s="2">
        <v>47</v>
      </c>
      <c r="I7" s="2">
        <v>1005</v>
      </c>
      <c r="J7" s="2">
        <v>1.8</v>
      </c>
      <c r="K7" s="2">
        <v>85</v>
      </c>
      <c r="L7" s="7">
        <v>2.1</v>
      </c>
      <c r="M7" s="7">
        <v>1.7</v>
      </c>
      <c r="N7" s="7">
        <v>0.6</v>
      </c>
      <c r="O7" s="6">
        <f>-((L7-N7)/L7)</f>
        <v>-0.7142857142857143</v>
      </c>
      <c r="P7" s="7">
        <v>0.51</v>
      </c>
      <c r="Q7" s="7">
        <v>0.51</v>
      </c>
      <c r="R7" s="7">
        <v>0.51</v>
      </c>
      <c r="S7" s="7">
        <v>0.5</v>
      </c>
      <c r="T7" s="7">
        <v>0.49</v>
      </c>
      <c r="U7" s="7">
        <v>0.49</v>
      </c>
      <c r="V7" s="7">
        <v>0.49</v>
      </c>
      <c r="W7" s="7">
        <v>0.49</v>
      </c>
      <c r="X7" s="7">
        <v>0.49</v>
      </c>
      <c r="Y7" s="7">
        <v>0.49</v>
      </c>
      <c r="Z7" s="7">
        <v>0.49</v>
      </c>
      <c r="AA7" s="7">
        <f t="shared" ref="AA7:AB9" si="0">Y7*0.8</f>
        <v>0.39200000000000002</v>
      </c>
      <c r="AB7" s="7">
        <f t="shared" si="0"/>
        <v>0.39200000000000002</v>
      </c>
      <c r="AC7" s="6">
        <f>Y7/L7</f>
        <v>0.23333333333333331</v>
      </c>
      <c r="AD7" s="6">
        <f>-(1-AC7)</f>
        <v>-0.76666666666666672</v>
      </c>
      <c r="AE7" s="6">
        <f>Z7/L7</f>
        <v>0.23333333333333331</v>
      </c>
      <c r="AF7" s="6">
        <f>-(1-AE7)</f>
        <v>-0.76666666666666672</v>
      </c>
      <c r="AG7" s="7">
        <v>0.99</v>
      </c>
    </row>
    <row r="8" spans="2:33" x14ac:dyDescent="0.3">
      <c r="B8" s="2" t="s">
        <v>73</v>
      </c>
      <c r="C8" s="2" t="s">
        <v>7</v>
      </c>
      <c r="D8" s="2" t="s">
        <v>2</v>
      </c>
      <c r="E8" s="2" t="s">
        <v>33</v>
      </c>
      <c r="F8" s="2" t="s">
        <v>41</v>
      </c>
      <c r="G8" s="2">
        <v>4</v>
      </c>
      <c r="H8" s="2">
        <v>4.7</v>
      </c>
      <c r="I8" s="2">
        <v>1608</v>
      </c>
      <c r="J8" s="2">
        <v>2</v>
      </c>
      <c r="K8" s="2">
        <v>85</v>
      </c>
      <c r="L8" s="7">
        <v>1.8900000000000001</v>
      </c>
      <c r="M8" s="7">
        <v>1.53</v>
      </c>
      <c r="N8" s="7">
        <v>0.54</v>
      </c>
      <c r="O8" s="6">
        <f>-((L8-N8)/L8)</f>
        <v>-0.7142857142857143</v>
      </c>
      <c r="P8" s="7">
        <v>0.45900000000000002</v>
      </c>
      <c r="Q8" s="7">
        <v>0.45900000000000002</v>
      </c>
      <c r="R8" s="7">
        <v>0.45900000000000002</v>
      </c>
      <c r="S8" s="7">
        <v>0.45</v>
      </c>
      <c r="T8" s="7">
        <v>0.441</v>
      </c>
      <c r="U8" s="7">
        <v>0.441</v>
      </c>
      <c r="V8" s="7">
        <v>0.441</v>
      </c>
      <c r="W8" s="7">
        <v>0.441</v>
      </c>
      <c r="X8" s="7">
        <v>0.441</v>
      </c>
      <c r="Y8" s="7">
        <v>0.441</v>
      </c>
      <c r="Z8" s="7">
        <v>0.441</v>
      </c>
      <c r="AA8" s="7">
        <f t="shared" si="0"/>
        <v>0.3528</v>
      </c>
      <c r="AB8" s="7">
        <f t="shared" si="0"/>
        <v>0.3528</v>
      </c>
      <c r="AC8" s="6">
        <f>Y8/L8</f>
        <v>0.23333333333333331</v>
      </c>
      <c r="AD8" s="6">
        <f>-(1-AC8)</f>
        <v>-0.76666666666666672</v>
      </c>
      <c r="AE8" s="6">
        <f>Z8/L8</f>
        <v>0.23333333333333331</v>
      </c>
      <c r="AF8" s="6">
        <f>-(1-AE8)</f>
        <v>-0.76666666666666672</v>
      </c>
      <c r="AG8" s="7">
        <v>0.99</v>
      </c>
    </row>
    <row r="9" spans="2:33" x14ac:dyDescent="0.3">
      <c r="B9" s="2" t="s">
        <v>73</v>
      </c>
      <c r="C9" s="2" t="s">
        <v>9</v>
      </c>
      <c r="D9" s="2" t="s">
        <v>2</v>
      </c>
      <c r="E9" s="2" t="s">
        <v>34</v>
      </c>
      <c r="F9" s="2" t="s">
        <v>42</v>
      </c>
      <c r="G9" s="2">
        <v>10</v>
      </c>
      <c r="H9" s="2">
        <v>10</v>
      </c>
      <c r="I9" s="2">
        <v>1608</v>
      </c>
      <c r="J9" s="2">
        <v>5</v>
      </c>
      <c r="K9" s="2">
        <v>85</v>
      </c>
      <c r="L9" s="7">
        <v>6.4</v>
      </c>
      <c r="M9" s="7">
        <v>6</v>
      </c>
      <c r="N9" s="7">
        <v>4.8999999999999995</v>
      </c>
      <c r="O9" s="6">
        <f>-((L9-N9)/L9)</f>
        <v>-0.23437500000000014</v>
      </c>
      <c r="P9" s="7">
        <v>4.8099999999999996</v>
      </c>
      <c r="Q9" s="7">
        <v>4.8099999999999996</v>
      </c>
      <c r="R9" s="7">
        <v>4.8099999999999996</v>
      </c>
      <c r="S9" s="7">
        <v>4.8</v>
      </c>
      <c r="T9" s="7">
        <v>4.79</v>
      </c>
      <c r="U9" s="7">
        <v>4.79</v>
      </c>
      <c r="V9" s="7">
        <v>4.79</v>
      </c>
      <c r="W9" s="7">
        <v>4.79</v>
      </c>
      <c r="X9" s="7">
        <v>4.79</v>
      </c>
      <c r="Y9" s="7">
        <v>4.79</v>
      </c>
      <c r="Z9" s="7">
        <v>4.79</v>
      </c>
      <c r="AA9" s="7">
        <f t="shared" si="0"/>
        <v>3.8320000000000003</v>
      </c>
      <c r="AB9" s="7">
        <f t="shared" si="0"/>
        <v>3.8320000000000003</v>
      </c>
      <c r="AC9" s="6">
        <f>Y9/L9</f>
        <v>0.74843749999999998</v>
      </c>
      <c r="AD9" s="6">
        <f>-(1-AC9)</f>
        <v>-0.25156250000000002</v>
      </c>
      <c r="AE9" s="6">
        <f>Z9/L9</f>
        <v>0.74843749999999998</v>
      </c>
      <c r="AF9" s="6">
        <f>-(1-AE9)</f>
        <v>-0.25156250000000002</v>
      </c>
      <c r="AG9" s="7">
        <v>0.99</v>
      </c>
    </row>
    <row r="10" spans="2:33" x14ac:dyDescent="0.3">
      <c r="B10" s="2" t="s">
        <v>73</v>
      </c>
      <c r="C10" s="2" t="s">
        <v>8</v>
      </c>
      <c r="D10" s="2" t="s">
        <v>4</v>
      </c>
      <c r="E10" s="2" t="s">
        <v>35</v>
      </c>
      <c r="F10" s="2" t="s">
        <v>41</v>
      </c>
      <c r="G10" s="2">
        <v>6.3</v>
      </c>
      <c r="H10" s="2">
        <v>47</v>
      </c>
      <c r="I10" s="2">
        <v>1005</v>
      </c>
      <c r="J10" s="2">
        <v>1.5</v>
      </c>
      <c r="K10" s="2">
        <v>85</v>
      </c>
      <c r="L10" s="7">
        <v>4.3000000000000007</v>
      </c>
      <c r="M10" s="7">
        <v>3.9</v>
      </c>
      <c r="N10" s="7">
        <v>2.7999999999999994</v>
      </c>
      <c r="O10" s="6">
        <f t="shared" ref="O10:O24" si="1">-((L10-N10)/L10)</f>
        <v>-0.34883720930232581</v>
      </c>
      <c r="P10" s="7">
        <v>2.7099999999999995</v>
      </c>
      <c r="Q10" s="7">
        <v>2.7099999999999995</v>
      </c>
      <c r="R10" s="7">
        <v>2.7099999999999995</v>
      </c>
      <c r="S10" s="7">
        <v>2.6999999999999997</v>
      </c>
      <c r="T10" s="7">
        <v>2.69</v>
      </c>
      <c r="U10" s="7">
        <v>2.69</v>
      </c>
      <c r="V10" s="7">
        <v>2.69</v>
      </c>
      <c r="W10" s="7">
        <v>2.69</v>
      </c>
      <c r="X10" s="7">
        <v>2.69</v>
      </c>
      <c r="Y10" s="7">
        <v>2.69</v>
      </c>
      <c r="Z10" s="7">
        <v>2.69</v>
      </c>
      <c r="AA10" s="7">
        <f t="shared" ref="AA10:AA24" si="2">Y10*0.8</f>
        <v>2.1520000000000001</v>
      </c>
      <c r="AB10" s="7">
        <f t="shared" ref="AB10:AB24" si="3">Z10*0.8</f>
        <v>2.1520000000000001</v>
      </c>
      <c r="AC10" s="6">
        <f t="shared" ref="AC10:AC24" si="4">Y10/L10</f>
        <v>0.62558139534883705</v>
      </c>
      <c r="AD10" s="6">
        <f t="shared" ref="AD10:AD24" si="5">-(1-AC10)</f>
        <v>-0.37441860465116295</v>
      </c>
      <c r="AE10" s="6">
        <f t="shared" ref="AE10:AE24" si="6">Z10/L10</f>
        <v>0.62558139534883705</v>
      </c>
      <c r="AF10" s="6">
        <f t="shared" ref="AF10:AF24" si="7">-(1-AE10)</f>
        <v>-0.37441860465116295</v>
      </c>
      <c r="AG10" s="7">
        <v>0.99</v>
      </c>
    </row>
    <row r="11" spans="2:33" x14ac:dyDescent="0.3">
      <c r="B11" s="2" t="s">
        <v>73</v>
      </c>
      <c r="C11" s="2" t="s">
        <v>7</v>
      </c>
      <c r="D11" s="2" t="s">
        <v>4</v>
      </c>
      <c r="E11" s="2" t="s">
        <v>36</v>
      </c>
      <c r="F11" s="2" t="s">
        <v>41</v>
      </c>
      <c r="G11" s="2">
        <v>4</v>
      </c>
      <c r="H11" s="2">
        <v>4.7</v>
      </c>
      <c r="I11" s="2">
        <v>1608</v>
      </c>
      <c r="J11" s="2">
        <v>1.7</v>
      </c>
      <c r="K11" s="2">
        <v>85</v>
      </c>
      <c r="L11" s="7">
        <v>7.5000000000000009</v>
      </c>
      <c r="M11" s="7">
        <v>7.1</v>
      </c>
      <c r="N11" s="7">
        <v>6</v>
      </c>
      <c r="O11" s="6">
        <f t="shared" si="1"/>
        <v>-0.20000000000000009</v>
      </c>
      <c r="P11" s="7">
        <v>5.91</v>
      </c>
      <c r="Q11" s="7">
        <v>5.91</v>
      </c>
      <c r="R11" s="7">
        <v>5.91</v>
      </c>
      <c r="S11" s="7">
        <v>5.9</v>
      </c>
      <c r="T11" s="7">
        <v>5.8900000000000006</v>
      </c>
      <c r="U11" s="7">
        <v>5.8900000000000006</v>
      </c>
      <c r="V11" s="7">
        <v>5.8900000000000006</v>
      </c>
      <c r="W11" s="7">
        <v>5.8900000000000006</v>
      </c>
      <c r="X11" s="7">
        <v>5.8900000000000006</v>
      </c>
      <c r="Y11" s="7">
        <v>5.8900000000000006</v>
      </c>
      <c r="Z11" s="7">
        <v>5.8900000000000006</v>
      </c>
      <c r="AA11" s="7">
        <f t="shared" si="2"/>
        <v>4.7120000000000006</v>
      </c>
      <c r="AB11" s="7">
        <f t="shared" si="3"/>
        <v>4.7120000000000006</v>
      </c>
      <c r="AC11" s="6">
        <f t="shared" si="4"/>
        <v>0.78533333333333333</v>
      </c>
      <c r="AD11" s="6">
        <f t="shared" si="5"/>
        <v>-0.21466666666666667</v>
      </c>
      <c r="AE11" s="6">
        <f t="shared" si="6"/>
        <v>0.78533333333333333</v>
      </c>
      <c r="AF11" s="6">
        <f t="shared" si="7"/>
        <v>-0.21466666666666667</v>
      </c>
      <c r="AG11" s="7">
        <v>0.99</v>
      </c>
    </row>
    <row r="12" spans="2:33" x14ac:dyDescent="0.3">
      <c r="B12" s="2" t="s">
        <v>73</v>
      </c>
      <c r="C12" s="2" t="s">
        <v>9</v>
      </c>
      <c r="D12" s="2" t="s">
        <v>4</v>
      </c>
      <c r="E12" s="2" t="s">
        <v>37</v>
      </c>
      <c r="F12" s="2" t="s">
        <v>42</v>
      </c>
      <c r="G12" s="2">
        <v>10</v>
      </c>
      <c r="H12" s="2">
        <v>10</v>
      </c>
      <c r="I12" s="2">
        <v>1608</v>
      </c>
      <c r="J12" s="2">
        <v>4.7</v>
      </c>
      <c r="K12" s="2">
        <v>85</v>
      </c>
      <c r="L12" s="7">
        <v>17.5</v>
      </c>
      <c r="M12" s="7">
        <v>17.100000000000001</v>
      </c>
      <c r="N12" s="7">
        <v>16</v>
      </c>
      <c r="O12" s="6">
        <f t="shared" si="1"/>
        <v>-8.5714285714285715E-2</v>
      </c>
      <c r="P12" s="7">
        <v>15.91</v>
      </c>
      <c r="Q12" s="7">
        <v>15.91</v>
      </c>
      <c r="R12" s="7">
        <v>15.91</v>
      </c>
      <c r="S12" s="7">
        <v>15.9</v>
      </c>
      <c r="T12" s="7">
        <v>15.89</v>
      </c>
      <c r="U12" s="7">
        <v>15.89</v>
      </c>
      <c r="V12" s="7">
        <v>15.89</v>
      </c>
      <c r="W12" s="7">
        <v>15.89</v>
      </c>
      <c r="X12" s="7">
        <v>15.89</v>
      </c>
      <c r="Y12" s="7">
        <v>15.89</v>
      </c>
      <c r="Z12" s="7">
        <v>15.89</v>
      </c>
      <c r="AA12" s="7">
        <f t="shared" si="2"/>
        <v>12.712000000000002</v>
      </c>
      <c r="AB12" s="7">
        <f t="shared" si="3"/>
        <v>12.712000000000002</v>
      </c>
      <c r="AC12" s="6">
        <f t="shared" si="4"/>
        <v>0.90800000000000003</v>
      </c>
      <c r="AD12" s="6">
        <f t="shared" si="5"/>
        <v>-9.1999999999999971E-2</v>
      </c>
      <c r="AE12" s="6">
        <f t="shared" si="6"/>
        <v>0.90800000000000003</v>
      </c>
      <c r="AF12" s="6">
        <f t="shared" si="7"/>
        <v>-9.1999999999999971E-2</v>
      </c>
      <c r="AG12" s="7">
        <v>0.99</v>
      </c>
    </row>
    <row r="13" spans="2:33" x14ac:dyDescent="0.3">
      <c r="B13" s="2" t="s">
        <v>73</v>
      </c>
      <c r="C13" s="2" t="s">
        <v>8</v>
      </c>
      <c r="D13" s="2" t="s">
        <v>3</v>
      </c>
      <c r="E13" s="2" t="s">
        <v>38</v>
      </c>
      <c r="F13" s="2" t="s">
        <v>41</v>
      </c>
      <c r="G13" s="2">
        <v>6.3</v>
      </c>
      <c r="H13" s="2">
        <v>47</v>
      </c>
      <c r="I13" s="2">
        <v>1005</v>
      </c>
      <c r="J13" s="2">
        <v>1.2</v>
      </c>
      <c r="K13" s="2">
        <v>85</v>
      </c>
      <c r="L13" s="7">
        <v>25.1</v>
      </c>
      <c r="M13" s="7">
        <v>24.700000000000003</v>
      </c>
      <c r="N13" s="7">
        <v>23.6</v>
      </c>
      <c r="O13" s="6">
        <f t="shared" si="1"/>
        <v>-5.97609561752988E-2</v>
      </c>
      <c r="P13" s="7">
        <v>23.509999999999998</v>
      </c>
      <c r="Q13" s="7">
        <v>23.509999999999998</v>
      </c>
      <c r="R13" s="7">
        <v>23.509999999999998</v>
      </c>
      <c r="S13" s="7">
        <v>23.5</v>
      </c>
      <c r="T13" s="7">
        <v>23.490000000000002</v>
      </c>
      <c r="U13" s="7">
        <v>23.490000000000002</v>
      </c>
      <c r="V13" s="7">
        <v>23.490000000000002</v>
      </c>
      <c r="W13" s="7">
        <v>23.490000000000002</v>
      </c>
      <c r="X13" s="7">
        <v>23.490000000000002</v>
      </c>
      <c r="Y13" s="7">
        <v>23.490000000000002</v>
      </c>
      <c r="Z13" s="7">
        <v>23.490000000000002</v>
      </c>
      <c r="AA13" s="7">
        <f t="shared" si="2"/>
        <v>18.792000000000002</v>
      </c>
      <c r="AB13" s="7">
        <f t="shared" si="3"/>
        <v>18.792000000000002</v>
      </c>
      <c r="AC13" s="6">
        <f t="shared" si="4"/>
        <v>0.93585657370517927</v>
      </c>
      <c r="AD13" s="6">
        <f t="shared" si="5"/>
        <v>-6.4143426294820727E-2</v>
      </c>
      <c r="AE13" s="6">
        <f t="shared" si="6"/>
        <v>0.93585657370517927</v>
      </c>
      <c r="AF13" s="6">
        <f t="shared" si="7"/>
        <v>-6.4143426294820727E-2</v>
      </c>
      <c r="AG13" s="7">
        <v>0.99</v>
      </c>
    </row>
    <row r="14" spans="2:33" x14ac:dyDescent="0.3">
      <c r="B14" s="2" t="s">
        <v>73</v>
      </c>
      <c r="C14" s="2" t="s">
        <v>7</v>
      </c>
      <c r="D14" s="2" t="s">
        <v>3</v>
      </c>
      <c r="E14" s="2" t="s">
        <v>39</v>
      </c>
      <c r="F14" s="2" t="s">
        <v>41</v>
      </c>
      <c r="G14" s="2">
        <v>4</v>
      </c>
      <c r="H14" s="2">
        <v>4.7</v>
      </c>
      <c r="I14" s="2">
        <v>1608</v>
      </c>
      <c r="J14" s="2">
        <v>1.4</v>
      </c>
      <c r="K14" s="2">
        <v>85</v>
      </c>
      <c r="L14" s="7">
        <v>14.6333</v>
      </c>
      <c r="M14" s="7">
        <v>14.4001</v>
      </c>
      <c r="N14" s="7">
        <v>13.758800000000001</v>
      </c>
      <c r="O14" s="6">
        <f t="shared" si="1"/>
        <v>-5.9760956175298766E-2</v>
      </c>
      <c r="P14" s="7">
        <v>13.706329999999998</v>
      </c>
      <c r="Q14" s="7">
        <v>13.706329999999998</v>
      </c>
      <c r="R14" s="7">
        <v>13.706329999999998</v>
      </c>
      <c r="S14" s="7">
        <v>13.7005</v>
      </c>
      <c r="T14" s="7">
        <v>13.69467</v>
      </c>
      <c r="U14" s="7">
        <v>13.69467</v>
      </c>
      <c r="V14" s="7">
        <v>13.69467</v>
      </c>
      <c r="W14" s="7">
        <v>13.69467</v>
      </c>
      <c r="X14" s="7">
        <v>13.69467</v>
      </c>
      <c r="Y14" s="7">
        <v>13.69467</v>
      </c>
      <c r="Z14" s="7">
        <v>13.69467</v>
      </c>
      <c r="AA14" s="7">
        <f t="shared" si="2"/>
        <v>10.955736000000002</v>
      </c>
      <c r="AB14" s="7">
        <f t="shared" si="3"/>
        <v>10.955736000000002</v>
      </c>
      <c r="AC14" s="6">
        <f t="shared" si="4"/>
        <v>0.93585657370517927</v>
      </c>
      <c r="AD14" s="6">
        <f t="shared" si="5"/>
        <v>-6.4143426294820727E-2</v>
      </c>
      <c r="AE14" s="6">
        <f t="shared" si="6"/>
        <v>0.93585657370517927</v>
      </c>
      <c r="AF14" s="6">
        <f t="shared" si="7"/>
        <v>-6.4143426294820727E-2</v>
      </c>
      <c r="AG14" s="7">
        <v>0.96</v>
      </c>
    </row>
    <row r="15" spans="2:33" x14ac:dyDescent="0.3">
      <c r="B15" s="2" t="s">
        <v>73</v>
      </c>
      <c r="C15" s="2" t="s">
        <v>9</v>
      </c>
      <c r="D15" s="2" t="s">
        <v>3</v>
      </c>
      <c r="E15" s="2" t="s">
        <v>40</v>
      </c>
      <c r="F15" s="2" t="s">
        <v>42</v>
      </c>
      <c r="G15" s="2">
        <v>10</v>
      </c>
      <c r="H15" s="2">
        <v>10</v>
      </c>
      <c r="I15" s="2">
        <v>1608</v>
      </c>
      <c r="J15" s="2">
        <v>4.4000000000000004</v>
      </c>
      <c r="K15" s="2">
        <v>85</v>
      </c>
      <c r="L15" s="7">
        <v>18.933299999999999</v>
      </c>
      <c r="M15" s="7">
        <v>18.700099999999999</v>
      </c>
      <c r="N15" s="7">
        <v>18.058800000000002</v>
      </c>
      <c r="O15" s="6">
        <f t="shared" si="1"/>
        <v>-4.6188461599404103E-2</v>
      </c>
      <c r="P15" s="7">
        <v>18.006329999999998</v>
      </c>
      <c r="Q15" s="7">
        <v>18.006329999999998</v>
      </c>
      <c r="R15" s="7">
        <v>18.006329999999998</v>
      </c>
      <c r="S15" s="7">
        <v>18.000499999999999</v>
      </c>
      <c r="T15" s="7">
        <v>17.994669999999999</v>
      </c>
      <c r="U15" s="7">
        <v>17.994669999999999</v>
      </c>
      <c r="V15" s="7">
        <v>17.994669999999999</v>
      </c>
      <c r="W15" s="7">
        <v>17.994669999999999</v>
      </c>
      <c r="X15" s="7">
        <v>17.994669999999999</v>
      </c>
      <c r="Y15" s="7">
        <v>17.994669999999999</v>
      </c>
      <c r="Z15" s="7">
        <v>17.994669999999999</v>
      </c>
      <c r="AA15" s="7">
        <f t="shared" si="2"/>
        <v>14.395735999999999</v>
      </c>
      <c r="AB15" s="7">
        <f t="shared" si="3"/>
        <v>14.395735999999999</v>
      </c>
      <c r="AC15" s="6">
        <f t="shared" si="4"/>
        <v>0.9504243845499728</v>
      </c>
      <c r="AD15" s="6">
        <f t="shared" si="5"/>
        <v>-4.9575615450027199E-2</v>
      </c>
      <c r="AE15" s="6">
        <f t="shared" si="6"/>
        <v>0.9504243845499728</v>
      </c>
      <c r="AF15" s="6">
        <f t="shared" si="7"/>
        <v>-4.9575615450027199E-2</v>
      </c>
      <c r="AG15" s="7">
        <v>0.98</v>
      </c>
    </row>
    <row r="16" spans="2:33" x14ac:dyDescent="0.3">
      <c r="B16" s="2" t="s">
        <v>73</v>
      </c>
      <c r="C16" s="2" t="s">
        <v>8</v>
      </c>
      <c r="D16" s="2" t="s">
        <v>2</v>
      </c>
      <c r="E16" s="2" t="s">
        <v>32</v>
      </c>
      <c r="F16" s="2" t="s">
        <v>41</v>
      </c>
      <c r="G16" s="2">
        <v>6.3</v>
      </c>
      <c r="H16" s="2">
        <v>47</v>
      </c>
      <c r="I16" s="2">
        <v>1005</v>
      </c>
      <c r="J16" s="2">
        <v>0.89999999999999991</v>
      </c>
      <c r="K16" s="2">
        <v>85</v>
      </c>
      <c r="L16" s="7">
        <v>16.933299999999999</v>
      </c>
      <c r="M16" s="7">
        <v>16.700099999999999</v>
      </c>
      <c r="N16" s="7">
        <v>16.058800000000002</v>
      </c>
      <c r="O16" s="6">
        <f t="shared" si="1"/>
        <v>-5.1643802448429879E-2</v>
      </c>
      <c r="P16" s="7">
        <v>16.006329999999998</v>
      </c>
      <c r="Q16" s="7">
        <v>16.006329999999998</v>
      </c>
      <c r="R16" s="7">
        <v>16.006329999999998</v>
      </c>
      <c r="S16" s="7">
        <v>16.000499999999999</v>
      </c>
      <c r="T16" s="7">
        <v>15.994669999999999</v>
      </c>
      <c r="U16" s="7">
        <v>15.994669999999999</v>
      </c>
      <c r="V16" s="7">
        <v>15.994669999999999</v>
      </c>
      <c r="W16" s="7">
        <v>15.994669999999999</v>
      </c>
      <c r="X16" s="7">
        <v>15.994669999999999</v>
      </c>
      <c r="Y16" s="7">
        <v>15.994669999999999</v>
      </c>
      <c r="Z16" s="7">
        <v>15.994669999999999</v>
      </c>
      <c r="AA16" s="7">
        <f t="shared" si="2"/>
        <v>12.795736</v>
      </c>
      <c r="AB16" s="7">
        <f t="shared" si="3"/>
        <v>12.795736</v>
      </c>
      <c r="AC16" s="6">
        <f t="shared" si="4"/>
        <v>0.9445689853720185</v>
      </c>
      <c r="AD16" s="6">
        <f t="shared" si="5"/>
        <v>-5.5431014627981501E-2</v>
      </c>
      <c r="AE16" s="6">
        <f t="shared" si="6"/>
        <v>0.9445689853720185</v>
      </c>
      <c r="AF16" s="6">
        <f t="shared" si="7"/>
        <v>-5.5431014627981501E-2</v>
      </c>
      <c r="AG16" s="7">
        <v>0.85</v>
      </c>
    </row>
    <row r="17" spans="2:33" x14ac:dyDescent="0.3">
      <c r="B17" s="2" t="s">
        <v>73</v>
      </c>
      <c r="C17" s="2" t="s">
        <v>7</v>
      </c>
      <c r="D17" s="2" t="s">
        <v>2</v>
      </c>
      <c r="E17" s="2" t="s">
        <v>33</v>
      </c>
      <c r="F17" s="2" t="s">
        <v>41</v>
      </c>
      <c r="G17" s="2">
        <v>4</v>
      </c>
      <c r="H17" s="2">
        <v>4.7</v>
      </c>
      <c r="I17" s="2">
        <v>1608</v>
      </c>
      <c r="J17" s="2">
        <v>1.0999999999999999</v>
      </c>
      <c r="K17" s="2">
        <v>85</v>
      </c>
      <c r="L17" s="7">
        <v>21.433299999999999</v>
      </c>
      <c r="M17" s="7">
        <v>21.200099999999999</v>
      </c>
      <c r="N17" s="7">
        <v>20.558800000000002</v>
      </c>
      <c r="O17" s="6">
        <f t="shared" si="1"/>
        <v>-4.0800996580087887E-2</v>
      </c>
      <c r="P17" s="7">
        <v>20.506329999999998</v>
      </c>
      <c r="Q17" s="7">
        <v>20.506329999999998</v>
      </c>
      <c r="R17" s="7">
        <v>20.506329999999998</v>
      </c>
      <c r="S17" s="7">
        <v>20.500499999999999</v>
      </c>
      <c r="T17" s="7">
        <v>20.494669999999999</v>
      </c>
      <c r="U17" s="7">
        <v>20.494669999999999</v>
      </c>
      <c r="V17" s="7">
        <v>20.494669999999999</v>
      </c>
      <c r="W17" s="7">
        <v>20.494669999999999</v>
      </c>
      <c r="X17" s="7">
        <v>20.494669999999999</v>
      </c>
      <c r="Y17" s="7">
        <v>20.494669999999999</v>
      </c>
      <c r="Z17" s="7">
        <v>20.494669999999999</v>
      </c>
      <c r="AA17" s="7">
        <f t="shared" si="2"/>
        <v>16.395735999999999</v>
      </c>
      <c r="AB17" s="7">
        <f t="shared" si="3"/>
        <v>16.395735999999999</v>
      </c>
      <c r="AC17" s="6">
        <f t="shared" si="4"/>
        <v>0.95620693033737225</v>
      </c>
      <c r="AD17" s="6">
        <f t="shared" si="5"/>
        <v>-4.3793069662627748E-2</v>
      </c>
      <c r="AE17" s="6">
        <f t="shared" si="6"/>
        <v>0.95620693033737225</v>
      </c>
      <c r="AF17" s="6">
        <f t="shared" si="7"/>
        <v>-4.3793069662627748E-2</v>
      </c>
      <c r="AG17" s="7">
        <v>0.96</v>
      </c>
    </row>
    <row r="18" spans="2:33" x14ac:dyDescent="0.3">
      <c r="B18" s="2" t="s">
        <v>73</v>
      </c>
      <c r="C18" s="2" t="s">
        <v>9</v>
      </c>
      <c r="D18" s="2" t="s">
        <v>2</v>
      </c>
      <c r="E18" s="2" t="s">
        <v>34</v>
      </c>
      <c r="F18" s="2" t="s">
        <v>42</v>
      </c>
      <c r="G18" s="2">
        <v>10</v>
      </c>
      <c r="H18" s="2">
        <v>10</v>
      </c>
      <c r="I18" s="2">
        <v>1608</v>
      </c>
      <c r="J18" s="2">
        <v>4.1000000000000005</v>
      </c>
      <c r="K18" s="2">
        <v>85</v>
      </c>
      <c r="L18" s="7">
        <v>23.9983</v>
      </c>
      <c r="M18" s="7">
        <v>23.7651</v>
      </c>
      <c r="N18" s="7">
        <v>23.123800000000003</v>
      </c>
      <c r="O18" s="6">
        <f t="shared" si="1"/>
        <v>-3.6440081172416282E-2</v>
      </c>
      <c r="P18" s="7">
        <v>13.506329999999998</v>
      </c>
      <c r="Q18" s="7">
        <v>13.506329999999998</v>
      </c>
      <c r="R18" s="7">
        <v>13.506329999999998</v>
      </c>
      <c r="S18" s="7">
        <v>13.500499999999999</v>
      </c>
      <c r="T18" s="7">
        <v>13.494669999999999</v>
      </c>
      <c r="U18" s="7">
        <v>13.494669999999999</v>
      </c>
      <c r="V18" s="7">
        <v>13.494669999999999</v>
      </c>
      <c r="W18" s="7">
        <v>13.494669999999999</v>
      </c>
      <c r="X18" s="7">
        <v>13.494669999999999</v>
      </c>
      <c r="Y18" s="7">
        <v>13.494669999999999</v>
      </c>
      <c r="Z18" s="7">
        <v>13.494669999999999</v>
      </c>
      <c r="AA18" s="7">
        <f t="shared" si="2"/>
        <v>10.795736</v>
      </c>
      <c r="AB18" s="7">
        <f t="shared" si="3"/>
        <v>10.795736</v>
      </c>
      <c r="AC18" s="6">
        <f t="shared" si="4"/>
        <v>0.56231774750711505</v>
      </c>
      <c r="AD18" s="6">
        <f t="shared" si="5"/>
        <v>-0.43768225249288495</v>
      </c>
      <c r="AE18" s="6">
        <f t="shared" si="6"/>
        <v>0.56231774750711505</v>
      </c>
      <c r="AF18" s="6">
        <f t="shared" si="7"/>
        <v>-0.43768225249288495</v>
      </c>
      <c r="AG18" s="7">
        <v>0.99</v>
      </c>
    </row>
    <row r="19" spans="2:33" x14ac:dyDescent="0.3">
      <c r="B19" s="2" t="s">
        <v>74</v>
      </c>
      <c r="C19" s="2" t="s">
        <v>8</v>
      </c>
      <c r="D19" s="2" t="s">
        <v>4</v>
      </c>
      <c r="E19" s="2" t="s">
        <v>35</v>
      </c>
      <c r="F19" s="2" t="s">
        <v>41</v>
      </c>
      <c r="G19" s="2">
        <v>6.3</v>
      </c>
      <c r="H19" s="2">
        <v>47</v>
      </c>
      <c r="I19" s="2">
        <v>1005</v>
      </c>
      <c r="J19" s="2">
        <v>0.59999999999999987</v>
      </c>
      <c r="K19" s="2">
        <v>85</v>
      </c>
      <c r="L19" s="7">
        <v>28.218299999999999</v>
      </c>
      <c r="M19" s="7">
        <v>27.985099999999999</v>
      </c>
      <c r="N19" s="7">
        <v>27.343800000000002</v>
      </c>
      <c r="O19" s="6">
        <f t="shared" si="1"/>
        <v>-3.0990527423693053E-2</v>
      </c>
      <c r="P19" s="7">
        <v>17.726329999999997</v>
      </c>
      <c r="Q19" s="7">
        <v>17.726329999999997</v>
      </c>
      <c r="R19" s="7">
        <v>17.726329999999997</v>
      </c>
      <c r="S19" s="7">
        <v>17.720499999999998</v>
      </c>
      <c r="T19" s="7">
        <v>17.714669999999998</v>
      </c>
      <c r="U19" s="7">
        <v>17.714669999999998</v>
      </c>
      <c r="V19" s="7">
        <v>17.714669999999998</v>
      </c>
      <c r="W19" s="7">
        <v>17.714669999999998</v>
      </c>
      <c r="X19" s="7">
        <v>17.714669999999998</v>
      </c>
      <c r="Y19" s="7">
        <v>17.714669999999998</v>
      </c>
      <c r="Z19" s="7">
        <v>17.714669999999998</v>
      </c>
      <c r="AA19" s="7">
        <f t="shared" si="2"/>
        <v>14.171735999999999</v>
      </c>
      <c r="AB19" s="7">
        <f t="shared" si="3"/>
        <v>14.171735999999999</v>
      </c>
      <c r="AC19" s="6">
        <f t="shared" si="4"/>
        <v>0.62777240301506465</v>
      </c>
      <c r="AD19" s="6">
        <f t="shared" si="5"/>
        <v>-0.37222759698493535</v>
      </c>
      <c r="AE19" s="6">
        <f t="shared" si="6"/>
        <v>0.62777240301506465</v>
      </c>
      <c r="AF19" s="6">
        <f t="shared" si="7"/>
        <v>-0.37222759698493535</v>
      </c>
      <c r="AG19" s="7">
        <v>0.99</v>
      </c>
    </row>
    <row r="20" spans="2:33" x14ac:dyDescent="0.3">
      <c r="B20" s="2" t="s">
        <v>74</v>
      </c>
      <c r="C20" s="2" t="s">
        <v>7</v>
      </c>
      <c r="D20" s="2" t="s">
        <v>4</v>
      </c>
      <c r="E20" s="2" t="s">
        <v>36</v>
      </c>
      <c r="F20" s="2" t="s">
        <v>41</v>
      </c>
      <c r="G20" s="2">
        <v>4</v>
      </c>
      <c r="H20" s="2">
        <v>4.7</v>
      </c>
      <c r="I20" s="2">
        <v>1608</v>
      </c>
      <c r="J20" s="2">
        <v>2</v>
      </c>
      <c r="K20" s="2">
        <v>85</v>
      </c>
      <c r="L20" s="7">
        <v>14.656299999999998</v>
      </c>
      <c r="M20" s="7">
        <v>14.423099999999998</v>
      </c>
      <c r="N20" s="7">
        <v>13.7818</v>
      </c>
      <c r="O20" s="6">
        <f t="shared" si="1"/>
        <v>-5.9667173843330014E-2</v>
      </c>
      <c r="P20" s="7">
        <v>13.729329999999997</v>
      </c>
      <c r="Q20" s="7">
        <v>13.729329999999997</v>
      </c>
      <c r="R20" s="7">
        <v>13.729329999999997</v>
      </c>
      <c r="S20" s="7">
        <v>13.723499999999998</v>
      </c>
      <c r="T20" s="7">
        <v>13.717669999999998</v>
      </c>
      <c r="U20" s="7">
        <v>13.717669999999998</v>
      </c>
      <c r="V20" s="7">
        <v>13.717669999999998</v>
      </c>
      <c r="W20" s="7">
        <v>13.717669999999998</v>
      </c>
      <c r="X20" s="7">
        <v>13.717669999999998</v>
      </c>
      <c r="Y20" s="7">
        <v>13.717669999999998</v>
      </c>
      <c r="Z20" s="7">
        <v>13.717669999999998</v>
      </c>
      <c r="AA20" s="7">
        <f t="shared" si="2"/>
        <v>10.974136</v>
      </c>
      <c r="AB20" s="7">
        <f t="shared" si="3"/>
        <v>10.974136</v>
      </c>
      <c r="AC20" s="6">
        <f t="shared" si="4"/>
        <v>0.93595723340815895</v>
      </c>
      <c r="AD20" s="6">
        <f t="shared" si="5"/>
        <v>-6.4042766591841049E-2</v>
      </c>
      <c r="AE20" s="6">
        <f t="shared" si="6"/>
        <v>0.93595723340815895</v>
      </c>
      <c r="AF20" s="6">
        <f t="shared" si="7"/>
        <v>-6.4042766591841049E-2</v>
      </c>
      <c r="AG20" s="7">
        <v>0.99</v>
      </c>
    </row>
    <row r="21" spans="2:33" x14ac:dyDescent="0.3">
      <c r="B21" s="2" t="s">
        <v>74</v>
      </c>
      <c r="C21" s="2" t="s">
        <v>9</v>
      </c>
      <c r="D21" s="2" t="s">
        <v>4</v>
      </c>
      <c r="E21" s="2" t="s">
        <v>37</v>
      </c>
      <c r="F21" s="2" t="s">
        <v>42</v>
      </c>
      <c r="G21" s="2">
        <v>10</v>
      </c>
      <c r="H21" s="2">
        <v>10</v>
      </c>
      <c r="I21" s="2">
        <v>1608</v>
      </c>
      <c r="J21" s="2">
        <v>3.8000000000000007</v>
      </c>
      <c r="K21" s="2">
        <v>85</v>
      </c>
      <c r="L21" s="7">
        <v>17.056299999999997</v>
      </c>
      <c r="M21" s="7">
        <v>16.823099999999997</v>
      </c>
      <c r="N21" s="7">
        <v>16.181799999999999</v>
      </c>
      <c r="O21" s="6">
        <f t="shared" si="1"/>
        <v>-5.1271377731395305E-2</v>
      </c>
      <c r="P21" s="7">
        <v>16.129329999999996</v>
      </c>
      <c r="Q21" s="7">
        <v>16.129329999999996</v>
      </c>
      <c r="R21" s="7">
        <v>16.129329999999996</v>
      </c>
      <c r="S21" s="7">
        <v>16.123499999999996</v>
      </c>
      <c r="T21" s="7">
        <v>16.117669999999997</v>
      </c>
      <c r="U21" s="7">
        <v>16.117669999999997</v>
      </c>
      <c r="V21" s="7">
        <v>16.117669999999997</v>
      </c>
      <c r="W21" s="7">
        <v>16.117669999999997</v>
      </c>
      <c r="X21" s="7">
        <v>16.117669999999997</v>
      </c>
      <c r="Y21" s="7">
        <v>16.117669999999997</v>
      </c>
      <c r="Z21" s="7">
        <v>16.117669999999997</v>
      </c>
      <c r="AA21" s="7">
        <f t="shared" si="2"/>
        <v>12.894135999999998</v>
      </c>
      <c r="AB21" s="7">
        <f t="shared" si="3"/>
        <v>12.894135999999998</v>
      </c>
      <c r="AC21" s="6">
        <f t="shared" si="4"/>
        <v>0.94496872123496889</v>
      </c>
      <c r="AD21" s="6">
        <f t="shared" si="5"/>
        <v>-5.5031278765031111E-2</v>
      </c>
      <c r="AE21" s="6">
        <f t="shared" si="6"/>
        <v>0.94496872123496889</v>
      </c>
      <c r="AF21" s="6">
        <f t="shared" si="7"/>
        <v>-5.5031278765031111E-2</v>
      </c>
      <c r="AG21" s="7">
        <v>0.99</v>
      </c>
    </row>
    <row r="22" spans="2:33" x14ac:dyDescent="0.3">
      <c r="B22" s="2" t="s">
        <v>74</v>
      </c>
      <c r="C22" s="2" t="s">
        <v>8</v>
      </c>
      <c r="D22" s="2" t="s">
        <v>3</v>
      </c>
      <c r="E22" s="2" t="s">
        <v>38</v>
      </c>
      <c r="F22" s="2" t="s">
        <v>41</v>
      </c>
      <c r="G22" s="2">
        <v>6.3</v>
      </c>
      <c r="H22" s="2">
        <v>47</v>
      </c>
      <c r="I22" s="2">
        <v>1005</v>
      </c>
      <c r="J22" s="2">
        <v>0.29999999999999988</v>
      </c>
      <c r="K22" s="2">
        <v>95</v>
      </c>
      <c r="L22" s="7">
        <v>23.556299999999997</v>
      </c>
      <c r="M22" s="7">
        <v>23.323099999999997</v>
      </c>
      <c r="N22" s="7">
        <v>22.681799999999999</v>
      </c>
      <c r="O22" s="6">
        <f t="shared" si="1"/>
        <v>-3.7123826746984785E-2</v>
      </c>
      <c r="P22" s="7">
        <v>9.1293299999999959</v>
      </c>
      <c r="Q22" s="7">
        <v>9.1293299999999959</v>
      </c>
      <c r="R22" s="7">
        <v>9.1293299999999959</v>
      </c>
      <c r="S22" s="7">
        <v>9.1234999999999964</v>
      </c>
      <c r="T22" s="7">
        <v>9.1176699999999968</v>
      </c>
      <c r="U22" s="7">
        <v>9.1176699999999968</v>
      </c>
      <c r="V22" s="7">
        <v>9.1176699999999968</v>
      </c>
      <c r="W22" s="7">
        <v>9.1176699999999968</v>
      </c>
      <c r="X22" s="7">
        <v>9.1176699999999968</v>
      </c>
      <c r="Y22" s="7">
        <v>9.1176699999999968</v>
      </c>
      <c r="Z22" s="7">
        <v>9.1176699999999968</v>
      </c>
      <c r="AA22" s="7">
        <f t="shared" si="2"/>
        <v>7.2941359999999982</v>
      </c>
      <c r="AB22" s="7">
        <f t="shared" si="3"/>
        <v>7.2941359999999982</v>
      </c>
      <c r="AC22" s="6">
        <f t="shared" si="4"/>
        <v>0.38705866371204301</v>
      </c>
      <c r="AD22" s="6">
        <f t="shared" si="5"/>
        <v>-0.61294133628795699</v>
      </c>
      <c r="AE22" s="6">
        <f t="shared" si="6"/>
        <v>0.38705866371204301</v>
      </c>
      <c r="AF22" s="6">
        <f t="shared" si="7"/>
        <v>-0.61294133628795699</v>
      </c>
      <c r="AG22" s="7">
        <v>0.99</v>
      </c>
    </row>
    <row r="23" spans="2:33" x14ac:dyDescent="0.3">
      <c r="B23" s="2" t="s">
        <v>74</v>
      </c>
      <c r="C23" s="2" t="s">
        <v>7</v>
      </c>
      <c r="D23" s="2" t="s">
        <v>3</v>
      </c>
      <c r="E23" s="2" t="s">
        <v>39</v>
      </c>
      <c r="F23" s="2" t="s">
        <v>41</v>
      </c>
      <c r="G23" s="2">
        <v>4</v>
      </c>
      <c r="H23" s="2">
        <v>4.7</v>
      </c>
      <c r="I23" s="2">
        <v>1608</v>
      </c>
      <c r="J23" s="2">
        <v>1.7</v>
      </c>
      <c r="K23" s="2">
        <v>95</v>
      </c>
      <c r="L23" s="7">
        <v>22.256299999999996</v>
      </c>
      <c r="M23" s="7">
        <v>22.023099999999999</v>
      </c>
      <c r="N23" s="7">
        <v>21.381799999999998</v>
      </c>
      <c r="O23" s="6">
        <f t="shared" si="1"/>
        <v>-3.9292245341768298E-2</v>
      </c>
      <c r="P23" s="7">
        <v>7.5093299999999976</v>
      </c>
      <c r="Q23" s="7">
        <v>7.5093299999999976</v>
      </c>
      <c r="R23" s="7">
        <v>7.5093299999999976</v>
      </c>
      <c r="S23" s="7">
        <v>7.5034999999999981</v>
      </c>
      <c r="T23" s="7">
        <v>7.4976699999999985</v>
      </c>
      <c r="U23" s="7">
        <v>7.4976699999999985</v>
      </c>
      <c r="V23" s="7">
        <v>7.4976699999999985</v>
      </c>
      <c r="W23" s="7">
        <v>7.4976699999999985</v>
      </c>
      <c r="X23" s="7">
        <v>7.4976699999999985</v>
      </c>
      <c r="Y23" s="7">
        <v>7.4976699999999985</v>
      </c>
      <c r="Z23" s="7">
        <v>7.4976699999999985</v>
      </c>
      <c r="AA23" s="7">
        <f t="shared" si="2"/>
        <v>5.9981359999999988</v>
      </c>
      <c r="AB23" s="7">
        <f t="shared" si="3"/>
        <v>5.9981359999999988</v>
      </c>
      <c r="AC23" s="6">
        <f t="shared" si="4"/>
        <v>0.3368785467485611</v>
      </c>
      <c r="AD23" s="6">
        <f t="shared" si="5"/>
        <v>-0.6631214532514389</v>
      </c>
      <c r="AE23" s="6">
        <f t="shared" si="6"/>
        <v>0.3368785467485611</v>
      </c>
      <c r="AF23" s="6">
        <f t="shared" si="7"/>
        <v>-0.6631214532514389</v>
      </c>
      <c r="AG23" s="7">
        <v>0.99</v>
      </c>
    </row>
    <row r="24" spans="2:33" x14ac:dyDescent="0.3">
      <c r="B24" s="2" t="s">
        <v>74</v>
      </c>
      <c r="C24" s="2" t="s">
        <v>9</v>
      </c>
      <c r="D24" s="2" t="s">
        <v>3</v>
      </c>
      <c r="E24" s="2" t="s">
        <v>40</v>
      </c>
      <c r="F24" s="2" t="s">
        <v>42</v>
      </c>
      <c r="G24" s="2">
        <v>10</v>
      </c>
      <c r="H24" s="2">
        <v>10</v>
      </c>
      <c r="I24" s="2">
        <v>1608</v>
      </c>
      <c r="J24" s="2">
        <v>3.5000000000000009</v>
      </c>
      <c r="K24" s="2">
        <v>95</v>
      </c>
      <c r="L24" s="7">
        <v>28.220300000000002</v>
      </c>
      <c r="M24" s="7">
        <v>27.987100000000002</v>
      </c>
      <c r="N24" s="7">
        <v>27.345800000000004</v>
      </c>
      <c r="O24" s="6">
        <f t="shared" si="1"/>
        <v>-3.0988331094991817E-2</v>
      </c>
      <c r="P24" s="7">
        <v>17.72833</v>
      </c>
      <c r="Q24" s="7">
        <v>17.72833</v>
      </c>
      <c r="R24" s="7">
        <v>17.72833</v>
      </c>
      <c r="S24" s="7">
        <v>17.7225</v>
      </c>
      <c r="T24" s="7">
        <v>17.716670000000001</v>
      </c>
      <c r="U24" s="7">
        <v>17.716670000000001</v>
      </c>
      <c r="V24" s="7">
        <v>17.716670000000001</v>
      </c>
      <c r="W24" s="7">
        <v>17.716670000000001</v>
      </c>
      <c r="X24" s="7">
        <v>17.716670000000001</v>
      </c>
      <c r="Y24" s="7">
        <v>17.716670000000001</v>
      </c>
      <c r="Z24" s="7">
        <v>17.716670000000001</v>
      </c>
      <c r="AA24" s="7">
        <f t="shared" si="2"/>
        <v>14.173336000000001</v>
      </c>
      <c r="AB24" s="7">
        <f t="shared" si="3"/>
        <v>14.173336000000001</v>
      </c>
      <c r="AC24" s="6">
        <f t="shared" si="4"/>
        <v>0.62779878314546622</v>
      </c>
      <c r="AD24" s="6">
        <f t="shared" si="5"/>
        <v>-0.37220121685453378</v>
      </c>
      <c r="AE24" s="6">
        <f t="shared" si="6"/>
        <v>0.62779878314546622</v>
      </c>
      <c r="AF24" s="6">
        <f t="shared" si="7"/>
        <v>-0.37220121685453378</v>
      </c>
      <c r="AG24" s="7">
        <v>0.99</v>
      </c>
    </row>
  </sheetData>
  <mergeCells count="4">
    <mergeCell ref="B5:K5"/>
    <mergeCell ref="L5:Z5"/>
    <mergeCell ref="AA5:AG5"/>
    <mergeCell ref="B3:K3"/>
  </mergeCells>
  <phoneticPr fontId="1" type="noConversion"/>
  <pageMargins left="0.7" right="0.7" top="0.75" bottom="0.75" header="0.3" footer="0.3"/>
  <ignoredErrors>
    <ignoredError sqref="AE7 AE8:AE24 O8:O2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64F2-F80B-47A0-9DE8-DDAE625DD8B9}">
  <dimension ref="B2:U23"/>
  <sheetViews>
    <sheetView showGridLines="0" tabSelected="1" workbookViewId="0">
      <selection activeCell="B3" sqref="B3"/>
    </sheetView>
  </sheetViews>
  <sheetFormatPr defaultRowHeight="16.5" x14ac:dyDescent="0.3"/>
  <cols>
    <col min="1" max="1" width="4.375" style="1" customWidth="1"/>
    <col min="2" max="2" width="13" style="1" bestFit="1" customWidth="1"/>
    <col min="3" max="3" width="11.875" style="1" customWidth="1"/>
    <col min="4" max="4" width="13.125" style="1" bestFit="1" customWidth="1"/>
    <col min="5" max="9" width="11.875" style="1" customWidth="1"/>
    <col min="10" max="10" width="13.875" style="1" customWidth="1"/>
    <col min="11" max="11" width="11.875" style="1" customWidth="1"/>
    <col min="12" max="12" width="15.375" style="1" bestFit="1" customWidth="1"/>
    <col min="13" max="13" width="15.5" style="1" bestFit="1" customWidth="1"/>
    <col min="14" max="19" width="9" style="1" customWidth="1"/>
    <col min="20" max="20" width="17.875" style="1" bestFit="1" customWidth="1"/>
    <col min="21" max="21" width="16.125" style="1" bestFit="1" customWidth="1"/>
    <col min="22" max="16384" width="9" style="1"/>
  </cols>
  <sheetData>
    <row r="2" spans="2:21" ht="129" customHeight="1" x14ac:dyDescent="0.3">
      <c r="B2" s="13" t="s">
        <v>114</v>
      </c>
      <c r="C2" s="13"/>
      <c r="D2" s="13"/>
      <c r="E2" s="13"/>
      <c r="F2" s="13"/>
      <c r="G2" s="13"/>
      <c r="H2" s="13"/>
      <c r="I2" s="13"/>
      <c r="J2" s="13"/>
      <c r="K2" s="13"/>
    </row>
    <row r="3" spans="2:21" x14ac:dyDescent="0.3">
      <c r="N3" s="19" t="s">
        <v>112</v>
      </c>
      <c r="O3" s="19"/>
      <c r="P3" s="19"/>
      <c r="Q3" s="19" t="s">
        <v>113</v>
      </c>
      <c r="R3" s="19"/>
      <c r="S3" s="19"/>
    </row>
    <row r="4" spans="2:21" x14ac:dyDescent="0.3">
      <c r="B4" s="12" t="s">
        <v>66</v>
      </c>
      <c r="C4" s="12"/>
      <c r="D4" s="12"/>
      <c r="E4" s="12"/>
      <c r="F4" s="12"/>
      <c r="G4" s="12"/>
      <c r="H4" s="12"/>
      <c r="I4" s="12"/>
      <c r="J4" s="12"/>
      <c r="K4" s="12"/>
      <c r="L4" s="9" t="s">
        <v>83</v>
      </c>
      <c r="M4" s="11"/>
      <c r="N4" s="12" t="s">
        <v>84</v>
      </c>
      <c r="O4" s="12"/>
      <c r="P4" s="12"/>
      <c r="Q4" s="12" t="s">
        <v>85</v>
      </c>
      <c r="R4" s="12"/>
      <c r="S4" s="12"/>
      <c r="T4" s="14" t="s">
        <v>86</v>
      </c>
      <c r="U4" s="14" t="s">
        <v>87</v>
      </c>
    </row>
    <row r="5" spans="2:21" x14ac:dyDescent="0.3">
      <c r="B5" s="5" t="s">
        <v>62</v>
      </c>
      <c r="C5" s="5" t="s">
        <v>0</v>
      </c>
      <c r="D5" s="5" t="s">
        <v>1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76</v>
      </c>
      <c r="K5" s="5" t="s">
        <v>77</v>
      </c>
      <c r="L5" s="5" t="s">
        <v>78</v>
      </c>
      <c r="M5" s="5" t="s">
        <v>79</v>
      </c>
      <c r="N5" s="5" t="s">
        <v>80</v>
      </c>
      <c r="O5" s="4" t="s">
        <v>81</v>
      </c>
      <c r="P5" s="5" t="s">
        <v>82</v>
      </c>
      <c r="Q5" s="5" t="s">
        <v>80</v>
      </c>
      <c r="R5" s="4" t="s">
        <v>81</v>
      </c>
      <c r="S5" s="5" t="s">
        <v>82</v>
      </c>
      <c r="T5" s="15"/>
      <c r="U5" s="15"/>
    </row>
    <row r="6" spans="2:21" x14ac:dyDescent="0.3">
      <c r="B6" s="2" t="s">
        <v>73</v>
      </c>
      <c r="C6" s="2" t="s">
        <v>2</v>
      </c>
      <c r="D6" s="2" t="s">
        <v>8</v>
      </c>
      <c r="E6" s="2" t="s">
        <v>107</v>
      </c>
      <c r="F6" s="2" t="s">
        <v>41</v>
      </c>
      <c r="G6" s="2">
        <v>6.3</v>
      </c>
      <c r="H6" s="2">
        <v>47</v>
      </c>
      <c r="I6" s="2">
        <v>1005</v>
      </c>
      <c r="J6" s="2">
        <v>231</v>
      </c>
      <c r="K6" s="2">
        <v>85</v>
      </c>
      <c r="L6" s="8">
        <v>546</v>
      </c>
      <c r="M6" s="8">
        <f>L6/G6</f>
        <v>86.666666666666671</v>
      </c>
      <c r="N6" s="8">
        <f>L6/0.2</f>
        <v>2730</v>
      </c>
      <c r="O6" s="8">
        <f>L6/0.5</f>
        <v>1092</v>
      </c>
      <c r="P6" s="8">
        <f>L6/0.66</f>
        <v>827.27272727272725</v>
      </c>
      <c r="Q6" s="8">
        <f>N6*0.77</f>
        <v>2102.1</v>
      </c>
      <c r="R6" s="8">
        <f t="shared" ref="R6:S6" si="0">O6*0.77</f>
        <v>840.84</v>
      </c>
      <c r="S6" s="8">
        <f t="shared" si="0"/>
        <v>637</v>
      </c>
      <c r="T6" s="8">
        <f>N6/G6</f>
        <v>433.33333333333337</v>
      </c>
      <c r="U6" s="2" t="s">
        <v>108</v>
      </c>
    </row>
    <row r="7" spans="2:21" x14ac:dyDescent="0.3">
      <c r="B7" s="2" t="s">
        <v>73</v>
      </c>
      <c r="C7" s="2" t="s">
        <v>2</v>
      </c>
      <c r="D7" s="2" t="s">
        <v>7</v>
      </c>
      <c r="E7" s="2" t="s">
        <v>106</v>
      </c>
      <c r="F7" s="2" t="s">
        <v>41</v>
      </c>
      <c r="G7" s="2">
        <v>4</v>
      </c>
      <c r="H7" s="2">
        <v>4.7</v>
      </c>
      <c r="I7" s="2">
        <v>1608</v>
      </c>
      <c r="J7" s="2">
        <v>231</v>
      </c>
      <c r="K7" s="2">
        <v>85</v>
      </c>
      <c r="L7" s="8">
        <v>54</v>
      </c>
      <c r="M7" s="8">
        <f t="shared" ref="M7:M23" si="1">L7/G7</f>
        <v>13.5</v>
      </c>
      <c r="N7" s="8">
        <f t="shared" ref="N7:N23" si="2">L7/0.2</f>
        <v>270</v>
      </c>
      <c r="O7" s="8">
        <f t="shared" ref="O7:O23" si="3">L7/0.5</f>
        <v>108</v>
      </c>
      <c r="P7" s="8">
        <f t="shared" ref="P7:P23" si="4">L7/0.66</f>
        <v>81.818181818181813</v>
      </c>
      <c r="Q7" s="8">
        <f t="shared" ref="Q7:Q23" si="5">N7*0.77</f>
        <v>207.9</v>
      </c>
      <c r="R7" s="8">
        <f t="shared" ref="R7:R23" si="6">O7*0.77</f>
        <v>83.16</v>
      </c>
      <c r="S7" s="8">
        <f t="shared" ref="S7:S23" si="7">P7*0.77</f>
        <v>63</v>
      </c>
      <c r="T7" s="8">
        <f t="shared" ref="T7:T23" si="8">N7/G7</f>
        <v>67.5</v>
      </c>
      <c r="U7" s="2" t="s">
        <v>108</v>
      </c>
    </row>
    <row r="8" spans="2:21" x14ac:dyDescent="0.3">
      <c r="B8" s="2" t="s">
        <v>73</v>
      </c>
      <c r="C8" s="2" t="s">
        <v>2</v>
      </c>
      <c r="D8" s="2" t="s">
        <v>9</v>
      </c>
      <c r="E8" s="2" t="s">
        <v>105</v>
      </c>
      <c r="F8" s="2" t="s">
        <v>42</v>
      </c>
      <c r="G8" s="2">
        <v>10</v>
      </c>
      <c r="H8" s="2">
        <v>10</v>
      </c>
      <c r="I8" s="2">
        <v>1608</v>
      </c>
      <c r="J8" s="2">
        <v>231</v>
      </c>
      <c r="K8" s="2">
        <v>85</v>
      </c>
      <c r="L8" s="8">
        <v>25</v>
      </c>
      <c r="M8" s="8">
        <f t="shared" si="1"/>
        <v>2.5</v>
      </c>
      <c r="N8" s="8">
        <f t="shared" si="2"/>
        <v>125</v>
      </c>
      <c r="O8" s="8">
        <f t="shared" si="3"/>
        <v>50</v>
      </c>
      <c r="P8" s="8">
        <f t="shared" si="4"/>
        <v>37.878787878787875</v>
      </c>
      <c r="Q8" s="8">
        <f t="shared" si="5"/>
        <v>96.25</v>
      </c>
      <c r="R8" s="8">
        <f t="shared" si="6"/>
        <v>38.5</v>
      </c>
      <c r="S8" s="8">
        <f t="shared" si="7"/>
        <v>29.166666666666664</v>
      </c>
      <c r="T8" s="8">
        <f t="shared" si="8"/>
        <v>12.5</v>
      </c>
      <c r="U8" s="2" t="s">
        <v>108</v>
      </c>
    </row>
    <row r="9" spans="2:21" x14ac:dyDescent="0.3">
      <c r="B9" s="2" t="s">
        <v>73</v>
      </c>
      <c r="C9" s="2" t="s">
        <v>4</v>
      </c>
      <c r="D9" s="2" t="s">
        <v>8</v>
      </c>
      <c r="E9" s="2" t="s">
        <v>103</v>
      </c>
      <c r="F9" s="2" t="s">
        <v>41</v>
      </c>
      <c r="G9" s="2">
        <v>6.3</v>
      </c>
      <c r="H9" s="2">
        <v>47</v>
      </c>
      <c r="I9" s="2">
        <v>1005</v>
      </c>
      <c r="J9" s="2">
        <v>231</v>
      </c>
      <c r="K9" s="2">
        <v>85</v>
      </c>
      <c r="L9" s="8">
        <v>555</v>
      </c>
      <c r="M9" s="8">
        <f t="shared" si="1"/>
        <v>88.095238095238102</v>
      </c>
      <c r="N9" s="8">
        <f t="shared" si="2"/>
        <v>2775</v>
      </c>
      <c r="O9" s="8">
        <f t="shared" si="3"/>
        <v>1110</v>
      </c>
      <c r="P9" s="8">
        <f t="shared" si="4"/>
        <v>840.90909090909088</v>
      </c>
      <c r="Q9" s="8">
        <f t="shared" si="5"/>
        <v>2136.75</v>
      </c>
      <c r="R9" s="8">
        <f t="shared" si="6"/>
        <v>854.7</v>
      </c>
      <c r="S9" s="8">
        <f t="shared" si="7"/>
        <v>647.5</v>
      </c>
      <c r="T9" s="8">
        <f t="shared" si="8"/>
        <v>440.47619047619048</v>
      </c>
      <c r="U9" s="2" t="s">
        <v>108</v>
      </c>
    </row>
    <row r="10" spans="2:21" x14ac:dyDescent="0.3">
      <c r="B10" s="2" t="s">
        <v>73</v>
      </c>
      <c r="C10" s="2" t="s">
        <v>4</v>
      </c>
      <c r="D10" s="2" t="s">
        <v>7</v>
      </c>
      <c r="E10" s="2" t="s">
        <v>104</v>
      </c>
      <c r="F10" s="2" t="s">
        <v>41</v>
      </c>
      <c r="G10" s="2">
        <v>4</v>
      </c>
      <c r="H10" s="2">
        <v>4.7</v>
      </c>
      <c r="I10" s="2">
        <v>1608</v>
      </c>
      <c r="J10" s="2">
        <v>231</v>
      </c>
      <c r="K10" s="2">
        <v>85</v>
      </c>
      <c r="L10" s="8">
        <v>512</v>
      </c>
      <c r="M10" s="8">
        <f t="shared" si="1"/>
        <v>128</v>
      </c>
      <c r="N10" s="8">
        <f t="shared" si="2"/>
        <v>2560</v>
      </c>
      <c r="O10" s="8">
        <f t="shared" si="3"/>
        <v>1024</v>
      </c>
      <c r="P10" s="8">
        <f t="shared" si="4"/>
        <v>775.75757575757575</v>
      </c>
      <c r="Q10" s="8">
        <f t="shared" si="5"/>
        <v>1971.2</v>
      </c>
      <c r="R10" s="8">
        <f t="shared" si="6"/>
        <v>788.48</v>
      </c>
      <c r="S10" s="8">
        <f t="shared" si="7"/>
        <v>597.33333333333337</v>
      </c>
      <c r="T10" s="8">
        <f t="shared" si="8"/>
        <v>640</v>
      </c>
      <c r="U10" s="2" t="s">
        <v>108</v>
      </c>
    </row>
    <row r="11" spans="2:21" x14ac:dyDescent="0.3">
      <c r="B11" s="2" t="s">
        <v>73</v>
      </c>
      <c r="C11" s="2" t="s">
        <v>4</v>
      </c>
      <c r="D11" s="2" t="s">
        <v>9</v>
      </c>
      <c r="E11" s="2" t="s">
        <v>102</v>
      </c>
      <c r="F11" s="2" t="s">
        <v>42</v>
      </c>
      <c r="G11" s="2">
        <v>10</v>
      </c>
      <c r="H11" s="2">
        <v>10</v>
      </c>
      <c r="I11" s="2">
        <v>1608</v>
      </c>
      <c r="J11" s="2">
        <v>231</v>
      </c>
      <c r="K11" s="2">
        <v>85</v>
      </c>
      <c r="L11" s="8">
        <v>218</v>
      </c>
      <c r="M11" s="8">
        <f t="shared" si="1"/>
        <v>21.8</v>
      </c>
      <c r="N11" s="8">
        <f t="shared" si="2"/>
        <v>1090</v>
      </c>
      <c r="O11" s="8">
        <f t="shared" si="3"/>
        <v>436</v>
      </c>
      <c r="P11" s="8">
        <f t="shared" si="4"/>
        <v>330.30303030303031</v>
      </c>
      <c r="Q11" s="8">
        <f t="shared" si="5"/>
        <v>839.30000000000007</v>
      </c>
      <c r="R11" s="8">
        <f t="shared" si="6"/>
        <v>335.72</v>
      </c>
      <c r="S11" s="8">
        <f t="shared" si="7"/>
        <v>254.33333333333334</v>
      </c>
      <c r="T11" s="8">
        <f t="shared" si="8"/>
        <v>109</v>
      </c>
      <c r="U11" s="2" t="s">
        <v>108</v>
      </c>
    </row>
    <row r="12" spans="2:21" x14ac:dyDescent="0.3">
      <c r="B12" s="2" t="s">
        <v>73</v>
      </c>
      <c r="C12" s="2" t="s">
        <v>3</v>
      </c>
      <c r="D12" s="2" t="s">
        <v>8</v>
      </c>
      <c r="E12" s="2" t="s">
        <v>101</v>
      </c>
      <c r="F12" s="2" t="s">
        <v>41</v>
      </c>
      <c r="G12" s="2">
        <v>6.3</v>
      </c>
      <c r="H12" s="2">
        <v>47</v>
      </c>
      <c r="I12" s="2">
        <v>1005</v>
      </c>
      <c r="J12" s="2">
        <v>231</v>
      </c>
      <c r="K12" s="2">
        <v>85</v>
      </c>
      <c r="L12" s="8">
        <v>115</v>
      </c>
      <c r="M12" s="8">
        <f t="shared" si="1"/>
        <v>18.253968253968253</v>
      </c>
      <c r="N12" s="8">
        <f t="shared" si="2"/>
        <v>575</v>
      </c>
      <c r="O12" s="8">
        <f t="shared" si="3"/>
        <v>230</v>
      </c>
      <c r="P12" s="8">
        <f t="shared" si="4"/>
        <v>174.24242424242422</v>
      </c>
      <c r="Q12" s="8">
        <f t="shared" si="5"/>
        <v>442.75</v>
      </c>
      <c r="R12" s="8">
        <f t="shared" si="6"/>
        <v>177.1</v>
      </c>
      <c r="S12" s="8">
        <f t="shared" si="7"/>
        <v>134.16666666666666</v>
      </c>
      <c r="T12" s="8">
        <f t="shared" si="8"/>
        <v>91.269841269841265</v>
      </c>
      <c r="U12" s="2" t="s">
        <v>108</v>
      </c>
    </row>
    <row r="13" spans="2:21" x14ac:dyDescent="0.3">
      <c r="B13" s="2" t="s">
        <v>73</v>
      </c>
      <c r="C13" s="2" t="s">
        <v>3</v>
      </c>
      <c r="D13" s="2" t="s">
        <v>88</v>
      </c>
      <c r="E13" s="2" t="s">
        <v>99</v>
      </c>
      <c r="F13" s="2" t="s">
        <v>41</v>
      </c>
      <c r="G13" s="2">
        <v>4</v>
      </c>
      <c r="H13" s="2">
        <v>4.7</v>
      </c>
      <c r="I13" s="2">
        <v>1608</v>
      </c>
      <c r="J13" s="2">
        <v>231</v>
      </c>
      <c r="K13" s="2">
        <v>85</v>
      </c>
      <c r="L13" s="8">
        <v>15</v>
      </c>
      <c r="M13" s="8">
        <f t="shared" si="1"/>
        <v>3.75</v>
      </c>
      <c r="N13" s="8">
        <f t="shared" si="2"/>
        <v>75</v>
      </c>
      <c r="O13" s="8">
        <f t="shared" si="3"/>
        <v>30</v>
      </c>
      <c r="P13" s="8">
        <f t="shared" si="4"/>
        <v>22.727272727272727</v>
      </c>
      <c r="Q13" s="8">
        <f t="shared" si="5"/>
        <v>57.75</v>
      </c>
      <c r="R13" s="8">
        <f t="shared" si="6"/>
        <v>23.1</v>
      </c>
      <c r="S13" s="8">
        <f t="shared" si="7"/>
        <v>17.5</v>
      </c>
      <c r="T13" s="8">
        <f t="shared" si="8"/>
        <v>18.75</v>
      </c>
      <c r="U13" s="2" t="s">
        <v>108</v>
      </c>
    </row>
    <row r="14" spans="2:21" x14ac:dyDescent="0.3">
      <c r="B14" s="2" t="s">
        <v>73</v>
      </c>
      <c r="C14" s="2" t="s">
        <v>3</v>
      </c>
      <c r="D14" s="2" t="s">
        <v>9</v>
      </c>
      <c r="E14" s="2" t="s">
        <v>100</v>
      </c>
      <c r="F14" s="2" t="s">
        <v>42</v>
      </c>
      <c r="G14" s="2">
        <v>10</v>
      </c>
      <c r="H14" s="2">
        <v>10</v>
      </c>
      <c r="I14" s="2">
        <v>1608</v>
      </c>
      <c r="J14" s="2">
        <v>231</v>
      </c>
      <c r="K14" s="2">
        <v>85</v>
      </c>
      <c r="L14" s="8">
        <v>56</v>
      </c>
      <c r="M14" s="8">
        <f t="shared" si="1"/>
        <v>5.6</v>
      </c>
      <c r="N14" s="8">
        <f t="shared" si="2"/>
        <v>280</v>
      </c>
      <c r="O14" s="8">
        <f t="shared" si="3"/>
        <v>112</v>
      </c>
      <c r="P14" s="8">
        <f t="shared" si="4"/>
        <v>84.848484848484844</v>
      </c>
      <c r="Q14" s="8">
        <f t="shared" si="5"/>
        <v>215.6</v>
      </c>
      <c r="R14" s="8">
        <f t="shared" si="6"/>
        <v>86.240000000000009</v>
      </c>
      <c r="S14" s="8">
        <f t="shared" si="7"/>
        <v>65.333333333333329</v>
      </c>
      <c r="T14" s="8">
        <f t="shared" si="8"/>
        <v>28</v>
      </c>
      <c r="U14" s="2" t="s">
        <v>108</v>
      </c>
    </row>
    <row r="15" spans="2:21" x14ac:dyDescent="0.3">
      <c r="B15" s="2" t="s">
        <v>73</v>
      </c>
      <c r="C15" s="2" t="s">
        <v>2</v>
      </c>
      <c r="D15" s="2" t="s">
        <v>89</v>
      </c>
      <c r="E15" s="2" t="s">
        <v>92</v>
      </c>
      <c r="F15" s="2" t="s">
        <v>41</v>
      </c>
      <c r="G15" s="2">
        <v>20</v>
      </c>
      <c r="H15" s="2">
        <v>47</v>
      </c>
      <c r="I15" s="2">
        <v>1005</v>
      </c>
      <c r="J15" s="2">
        <v>231</v>
      </c>
      <c r="K15" s="2">
        <v>85</v>
      </c>
      <c r="L15" s="8">
        <v>5453</v>
      </c>
      <c r="M15" s="8">
        <f t="shared" si="1"/>
        <v>272.64999999999998</v>
      </c>
      <c r="N15" s="8">
        <f t="shared" si="2"/>
        <v>27265</v>
      </c>
      <c r="O15" s="8">
        <f t="shared" si="3"/>
        <v>10906</v>
      </c>
      <c r="P15" s="8">
        <f t="shared" si="4"/>
        <v>8262.121212121212</v>
      </c>
      <c r="Q15" s="8">
        <f t="shared" si="5"/>
        <v>20994.05</v>
      </c>
      <c r="R15" s="8">
        <f t="shared" si="6"/>
        <v>8397.6200000000008</v>
      </c>
      <c r="S15" s="8">
        <f t="shared" si="7"/>
        <v>6361.833333333333</v>
      </c>
      <c r="T15" s="8">
        <f t="shared" si="8"/>
        <v>1363.25</v>
      </c>
      <c r="U15" s="2" t="s">
        <v>108</v>
      </c>
    </row>
    <row r="16" spans="2:21" x14ac:dyDescent="0.3">
      <c r="B16" s="2" t="s">
        <v>73</v>
      </c>
      <c r="C16" s="2" t="s">
        <v>2</v>
      </c>
      <c r="D16" s="2" t="s">
        <v>90</v>
      </c>
      <c r="E16" s="2" t="s">
        <v>93</v>
      </c>
      <c r="F16" s="2" t="s">
        <v>41</v>
      </c>
      <c r="G16" s="2">
        <v>10</v>
      </c>
      <c r="H16" s="2">
        <v>4.7</v>
      </c>
      <c r="I16" s="2">
        <v>1608</v>
      </c>
      <c r="J16" s="2">
        <v>231</v>
      </c>
      <c r="K16" s="2">
        <v>85</v>
      </c>
      <c r="L16" s="8">
        <v>54</v>
      </c>
      <c r="M16" s="8">
        <f t="shared" si="1"/>
        <v>5.4</v>
      </c>
      <c r="N16" s="8">
        <f t="shared" si="2"/>
        <v>270</v>
      </c>
      <c r="O16" s="8">
        <f t="shared" si="3"/>
        <v>108</v>
      </c>
      <c r="P16" s="8">
        <f t="shared" si="4"/>
        <v>81.818181818181813</v>
      </c>
      <c r="Q16" s="8">
        <f t="shared" si="5"/>
        <v>207.9</v>
      </c>
      <c r="R16" s="8">
        <f t="shared" si="6"/>
        <v>83.16</v>
      </c>
      <c r="S16" s="8">
        <f t="shared" si="7"/>
        <v>63</v>
      </c>
      <c r="T16" s="8">
        <f t="shared" si="8"/>
        <v>27</v>
      </c>
      <c r="U16" s="2" t="s">
        <v>108</v>
      </c>
    </row>
    <row r="17" spans="2:21" x14ac:dyDescent="0.3">
      <c r="B17" s="2" t="s">
        <v>73</v>
      </c>
      <c r="C17" s="2" t="s">
        <v>2</v>
      </c>
      <c r="D17" s="2" t="s">
        <v>91</v>
      </c>
      <c r="E17" s="2" t="s">
        <v>94</v>
      </c>
      <c r="F17" s="2" t="s">
        <v>42</v>
      </c>
      <c r="G17" s="2">
        <v>5</v>
      </c>
      <c r="H17" s="2">
        <v>10</v>
      </c>
      <c r="I17" s="2">
        <v>1608</v>
      </c>
      <c r="J17" s="2">
        <v>231</v>
      </c>
      <c r="K17" s="2">
        <v>85</v>
      </c>
      <c r="L17" s="8">
        <v>5454</v>
      </c>
      <c r="M17" s="8">
        <f t="shared" si="1"/>
        <v>1090.8</v>
      </c>
      <c r="N17" s="8">
        <f t="shared" si="2"/>
        <v>27270</v>
      </c>
      <c r="O17" s="8">
        <f t="shared" si="3"/>
        <v>10908</v>
      </c>
      <c r="P17" s="8">
        <f t="shared" si="4"/>
        <v>8263.636363636364</v>
      </c>
      <c r="Q17" s="8">
        <f t="shared" si="5"/>
        <v>20997.9</v>
      </c>
      <c r="R17" s="8">
        <f t="shared" si="6"/>
        <v>8399.16</v>
      </c>
      <c r="S17" s="8">
        <f t="shared" si="7"/>
        <v>6363</v>
      </c>
      <c r="T17" s="8">
        <f t="shared" si="8"/>
        <v>5454</v>
      </c>
      <c r="U17" s="2" t="s">
        <v>109</v>
      </c>
    </row>
    <row r="18" spans="2:21" x14ac:dyDescent="0.3">
      <c r="B18" s="2" t="s">
        <v>74</v>
      </c>
      <c r="C18" s="2" t="s">
        <v>4</v>
      </c>
      <c r="D18" s="2" t="s">
        <v>89</v>
      </c>
      <c r="E18" s="2" t="s">
        <v>95</v>
      </c>
      <c r="F18" s="2" t="s">
        <v>41</v>
      </c>
      <c r="G18" s="2">
        <v>20</v>
      </c>
      <c r="H18" s="2">
        <v>47</v>
      </c>
      <c r="I18" s="2">
        <v>1005</v>
      </c>
      <c r="J18" s="2">
        <v>77</v>
      </c>
      <c r="K18" s="2">
        <v>85</v>
      </c>
      <c r="L18" s="8">
        <v>547</v>
      </c>
      <c r="M18" s="8">
        <f t="shared" si="1"/>
        <v>27.35</v>
      </c>
      <c r="N18" s="8">
        <f t="shared" si="2"/>
        <v>2735</v>
      </c>
      <c r="O18" s="8">
        <f t="shared" si="3"/>
        <v>1094</v>
      </c>
      <c r="P18" s="8">
        <f t="shared" si="4"/>
        <v>828.78787878787875</v>
      </c>
      <c r="Q18" s="8">
        <f t="shared" si="5"/>
        <v>2105.9500000000003</v>
      </c>
      <c r="R18" s="8">
        <f t="shared" si="6"/>
        <v>842.38</v>
      </c>
      <c r="S18" s="8">
        <f t="shared" si="7"/>
        <v>638.16666666666663</v>
      </c>
      <c r="T18" s="8">
        <f t="shared" si="8"/>
        <v>136.75</v>
      </c>
      <c r="U18" s="2" t="s">
        <v>109</v>
      </c>
    </row>
    <row r="19" spans="2:21" x14ac:dyDescent="0.3">
      <c r="B19" s="2" t="s">
        <v>74</v>
      </c>
      <c r="C19" s="2" t="s">
        <v>4</v>
      </c>
      <c r="D19" s="2" t="s">
        <v>90</v>
      </c>
      <c r="E19" s="2" t="s">
        <v>96</v>
      </c>
      <c r="F19" s="2" t="s">
        <v>41</v>
      </c>
      <c r="G19" s="2">
        <v>10</v>
      </c>
      <c r="H19" s="2">
        <v>4.7</v>
      </c>
      <c r="I19" s="2">
        <v>1608</v>
      </c>
      <c r="J19" s="2">
        <v>77</v>
      </c>
      <c r="K19" s="2">
        <v>85</v>
      </c>
      <c r="L19" s="8">
        <v>547</v>
      </c>
      <c r="M19" s="8">
        <f t="shared" si="1"/>
        <v>54.7</v>
      </c>
      <c r="N19" s="8">
        <f t="shared" si="2"/>
        <v>2735</v>
      </c>
      <c r="O19" s="8">
        <f t="shared" si="3"/>
        <v>1094</v>
      </c>
      <c r="P19" s="8">
        <f t="shared" si="4"/>
        <v>828.78787878787875</v>
      </c>
      <c r="Q19" s="8">
        <f t="shared" si="5"/>
        <v>2105.9500000000003</v>
      </c>
      <c r="R19" s="8">
        <f t="shared" si="6"/>
        <v>842.38</v>
      </c>
      <c r="S19" s="8">
        <f t="shared" si="7"/>
        <v>638.16666666666663</v>
      </c>
      <c r="T19" s="8">
        <f t="shared" si="8"/>
        <v>273.5</v>
      </c>
      <c r="U19" s="2" t="s">
        <v>109</v>
      </c>
    </row>
    <row r="20" spans="2:21" x14ac:dyDescent="0.3">
      <c r="B20" s="2" t="s">
        <v>74</v>
      </c>
      <c r="C20" s="2" t="s">
        <v>4</v>
      </c>
      <c r="D20" s="2" t="s">
        <v>91</v>
      </c>
      <c r="E20" s="2" t="s">
        <v>97</v>
      </c>
      <c r="F20" s="2" t="s">
        <v>42</v>
      </c>
      <c r="G20" s="2">
        <v>5</v>
      </c>
      <c r="H20" s="2">
        <v>10</v>
      </c>
      <c r="I20" s="2">
        <v>1608</v>
      </c>
      <c r="J20" s="2">
        <v>231</v>
      </c>
      <c r="K20" s="2">
        <v>85</v>
      </c>
      <c r="L20" s="8">
        <v>556</v>
      </c>
      <c r="M20" s="8">
        <f t="shared" si="1"/>
        <v>111.2</v>
      </c>
      <c r="N20" s="8">
        <f t="shared" si="2"/>
        <v>2780</v>
      </c>
      <c r="O20" s="8">
        <f t="shared" si="3"/>
        <v>1112</v>
      </c>
      <c r="P20" s="8">
        <f t="shared" si="4"/>
        <v>842.42424242424238</v>
      </c>
      <c r="Q20" s="8">
        <f t="shared" si="5"/>
        <v>2140.6</v>
      </c>
      <c r="R20" s="8">
        <f t="shared" si="6"/>
        <v>856.24</v>
      </c>
      <c r="S20" s="8">
        <f t="shared" si="7"/>
        <v>648.66666666666663</v>
      </c>
      <c r="T20" s="8">
        <f t="shared" si="8"/>
        <v>556</v>
      </c>
      <c r="U20" s="2" t="s">
        <v>108</v>
      </c>
    </row>
    <row r="21" spans="2:21" x14ac:dyDescent="0.3">
      <c r="B21" s="2" t="s">
        <v>74</v>
      </c>
      <c r="C21" s="2" t="s">
        <v>3</v>
      </c>
      <c r="D21" s="2" t="s">
        <v>89</v>
      </c>
      <c r="E21" s="2" t="s">
        <v>98</v>
      </c>
      <c r="F21" s="2" t="s">
        <v>41</v>
      </c>
      <c r="G21" s="2">
        <v>20</v>
      </c>
      <c r="H21" s="2">
        <v>47</v>
      </c>
      <c r="I21" s="2">
        <v>1005</v>
      </c>
      <c r="J21" s="2">
        <v>231</v>
      </c>
      <c r="K21" s="2">
        <v>95</v>
      </c>
      <c r="L21" s="8">
        <v>11</v>
      </c>
      <c r="M21" s="8">
        <f t="shared" si="1"/>
        <v>0.55000000000000004</v>
      </c>
      <c r="N21" s="8">
        <f t="shared" si="2"/>
        <v>55</v>
      </c>
      <c r="O21" s="8">
        <f t="shared" si="3"/>
        <v>22</v>
      </c>
      <c r="P21" s="8">
        <f t="shared" si="4"/>
        <v>16.666666666666664</v>
      </c>
      <c r="Q21" s="8">
        <f t="shared" si="5"/>
        <v>42.35</v>
      </c>
      <c r="R21" s="8">
        <f t="shared" si="6"/>
        <v>16.940000000000001</v>
      </c>
      <c r="S21" s="8">
        <f t="shared" si="7"/>
        <v>12.833333333333332</v>
      </c>
      <c r="T21" s="8">
        <f t="shared" si="8"/>
        <v>2.75</v>
      </c>
      <c r="U21" s="2" t="s">
        <v>109</v>
      </c>
    </row>
    <row r="22" spans="2:21" x14ac:dyDescent="0.3">
      <c r="B22" s="2" t="s">
        <v>74</v>
      </c>
      <c r="C22" s="2" t="s">
        <v>3</v>
      </c>
      <c r="D22" s="2" t="s">
        <v>90</v>
      </c>
      <c r="E22" s="2" t="s">
        <v>99</v>
      </c>
      <c r="F22" s="2" t="s">
        <v>41</v>
      </c>
      <c r="G22" s="2">
        <v>10</v>
      </c>
      <c r="H22" s="2">
        <v>4.7</v>
      </c>
      <c r="I22" s="2">
        <v>1608</v>
      </c>
      <c r="J22" s="2">
        <v>231</v>
      </c>
      <c r="K22" s="2">
        <v>95</v>
      </c>
      <c r="L22" s="8">
        <v>22</v>
      </c>
      <c r="M22" s="8">
        <f t="shared" si="1"/>
        <v>2.2000000000000002</v>
      </c>
      <c r="N22" s="8">
        <f t="shared" si="2"/>
        <v>110</v>
      </c>
      <c r="O22" s="8">
        <f t="shared" si="3"/>
        <v>44</v>
      </c>
      <c r="P22" s="8">
        <f t="shared" si="4"/>
        <v>33.333333333333329</v>
      </c>
      <c r="Q22" s="8">
        <f t="shared" si="5"/>
        <v>84.7</v>
      </c>
      <c r="R22" s="8">
        <f t="shared" si="6"/>
        <v>33.880000000000003</v>
      </c>
      <c r="S22" s="8">
        <f t="shared" si="7"/>
        <v>25.666666666666664</v>
      </c>
      <c r="T22" s="8">
        <f t="shared" si="8"/>
        <v>11</v>
      </c>
      <c r="U22" s="2" t="s">
        <v>109</v>
      </c>
    </row>
    <row r="23" spans="2:21" x14ac:dyDescent="0.3">
      <c r="B23" s="2" t="s">
        <v>74</v>
      </c>
      <c r="C23" s="2" t="s">
        <v>3</v>
      </c>
      <c r="D23" s="2" t="s">
        <v>91</v>
      </c>
      <c r="E23" s="2">
        <v>5</v>
      </c>
      <c r="F23" s="2" t="s">
        <v>42</v>
      </c>
      <c r="G23" s="2">
        <v>5</v>
      </c>
      <c r="H23" s="2">
        <v>10</v>
      </c>
      <c r="I23" s="2">
        <v>1608</v>
      </c>
      <c r="J23" s="2">
        <v>231</v>
      </c>
      <c r="K23" s="2">
        <v>95</v>
      </c>
      <c r="L23" s="8">
        <v>77</v>
      </c>
      <c r="M23" s="8">
        <f t="shared" si="1"/>
        <v>15.4</v>
      </c>
      <c r="N23" s="8">
        <f t="shared" si="2"/>
        <v>385</v>
      </c>
      <c r="O23" s="8">
        <f t="shared" si="3"/>
        <v>154</v>
      </c>
      <c r="P23" s="8">
        <f t="shared" si="4"/>
        <v>116.66666666666666</v>
      </c>
      <c r="Q23" s="8">
        <f t="shared" si="5"/>
        <v>296.45</v>
      </c>
      <c r="R23" s="8">
        <f t="shared" si="6"/>
        <v>118.58</v>
      </c>
      <c r="S23" s="8">
        <f t="shared" si="7"/>
        <v>89.833333333333329</v>
      </c>
      <c r="T23" s="8">
        <f t="shared" si="8"/>
        <v>77</v>
      </c>
      <c r="U23" s="2" t="s">
        <v>109</v>
      </c>
    </row>
  </sheetData>
  <mergeCells count="9">
    <mergeCell ref="B2:K2"/>
    <mergeCell ref="N3:P3"/>
    <mergeCell ref="Q3:S3"/>
    <mergeCell ref="T4:T5"/>
    <mergeCell ref="U4:U5"/>
    <mergeCell ref="L4:M4"/>
    <mergeCell ref="B4:K4"/>
    <mergeCell ref="N4:P4"/>
    <mergeCell ref="Q4:S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수명</vt:lpstr>
      <vt:lpstr>Aging</vt:lpstr>
      <vt:lpstr>BDV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2026-09-29T02:02:05Z</dcterms:created>
  <dcterms:modified xsi:type="dcterms:W3CDTF">2026-09-29T05:06:03Z</dcterms:modified>
</cp:coreProperties>
</file>