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2565D6-F6CF-4BE3-B42D-37F11FE2105C}" xr6:coauthVersionLast="47" xr6:coauthVersionMax="47" xr10:uidLastSave="{00000000-0000-0000-0000-000000000000}"/>
  <bookViews>
    <workbookView xWindow="-120" yWindow="-120" windowWidth="29040" windowHeight="15720" xr2:uid="{DD21264B-7F4D-4808-A1EE-9D5B44D53BA3}"/>
  </bookViews>
  <sheets>
    <sheet name="수명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7" i="2" l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Q16" i="2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Q11" i="2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Q9" i="2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Q15" i="2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Q14" i="2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Q13" i="2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Q12" i="2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Q10" i="2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Q8" i="2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Q7" i="2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Q6" i="2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Q5" i="2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</calcChain>
</file>

<file path=xl/sharedStrings.xml><?xml version="1.0" encoding="utf-8"?>
<sst xmlns="http://schemas.openxmlformats.org/spreadsheetml/2006/main" count="107" uniqueCount="56">
  <si>
    <t>부품사</t>
    <phoneticPr fontId="1" type="noConversion"/>
  </si>
  <si>
    <t>자재코드</t>
    <phoneticPr fontId="1" type="noConversion"/>
  </si>
  <si>
    <t>Ea</t>
    <phoneticPr fontId="1" type="noConversion"/>
  </si>
  <si>
    <t>n</t>
    <phoneticPr fontId="1" type="noConversion"/>
  </si>
  <si>
    <t>2203-008953</t>
    <phoneticPr fontId="1" type="noConversion"/>
  </si>
  <si>
    <t>2203-007317</t>
    <phoneticPr fontId="1" type="noConversion"/>
  </si>
  <si>
    <t>2203-010255</t>
    <phoneticPr fontId="1" type="noConversion"/>
  </si>
  <si>
    <t>부품사코드</t>
    <phoneticPr fontId="1" type="noConversion"/>
  </si>
  <si>
    <t>Grade</t>
    <phoneticPr fontId="1" type="noConversion"/>
  </si>
  <si>
    <t>정격전압(V)</t>
    <phoneticPr fontId="1" type="noConversion"/>
  </si>
  <si>
    <t>정격용량(uF)</t>
    <phoneticPr fontId="1" type="noConversion"/>
  </si>
  <si>
    <t>Size</t>
    <phoneticPr fontId="1" type="noConversion"/>
  </si>
  <si>
    <t>사용전압(V)</t>
    <phoneticPr fontId="1" type="noConversion"/>
  </si>
  <si>
    <t>Bx수명</t>
    <phoneticPr fontId="1" type="noConversion"/>
  </si>
  <si>
    <t>형상모수</t>
    <phoneticPr fontId="1" type="noConversion"/>
  </si>
  <si>
    <t>척도모수</t>
    <phoneticPr fontId="1" type="noConversion"/>
  </si>
  <si>
    <t>65℃</t>
    <phoneticPr fontId="1" type="noConversion"/>
  </si>
  <si>
    <t>70℃</t>
    <phoneticPr fontId="1" type="noConversion"/>
  </si>
  <si>
    <t>75℃</t>
    <phoneticPr fontId="1" type="noConversion"/>
  </si>
  <si>
    <t>80℃</t>
    <phoneticPr fontId="1" type="noConversion"/>
  </si>
  <si>
    <t>85℃</t>
    <phoneticPr fontId="1" type="noConversion"/>
  </si>
  <si>
    <t>90℃</t>
    <phoneticPr fontId="1" type="noConversion"/>
  </si>
  <si>
    <t>95℃</t>
    <phoneticPr fontId="1" type="noConversion"/>
  </si>
  <si>
    <t>100℃</t>
    <phoneticPr fontId="1" type="noConversion"/>
  </si>
  <si>
    <t>105℃</t>
    <phoneticPr fontId="1" type="noConversion"/>
  </si>
  <si>
    <t>110℃</t>
    <phoneticPr fontId="1" type="noConversion"/>
  </si>
  <si>
    <t>115℃</t>
    <phoneticPr fontId="1" type="noConversion"/>
  </si>
  <si>
    <t>120℃</t>
    <phoneticPr fontId="1" type="noConversion"/>
  </si>
  <si>
    <t>125℃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</si>
  <si>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</si>
  <si>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</si>
  <si>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</si>
  <si>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</si>
  <si>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</si>
  <si>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</si>
  <si>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</si>
  <si>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</si>
  <si>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</si>
  <si>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X5R</t>
    <phoneticPr fontId="1" type="noConversion"/>
  </si>
  <si>
    <t>X6S</t>
    <phoneticPr fontId="1" type="noConversion"/>
  </si>
  <si>
    <t>B0.1</t>
    <phoneticPr fontId="1" type="noConversion"/>
  </si>
  <si>
    <t>업데이트일자</t>
    <phoneticPr fontId="1" type="noConversion"/>
  </si>
  <si>
    <t>MLCC 정보</t>
    <phoneticPr fontId="1" type="noConversion"/>
  </si>
  <si>
    <t>가속평가 기반, 수명산출결과</t>
    <phoneticPr fontId="1" type="noConversion"/>
  </si>
  <si>
    <t>2026.06.04</t>
    <phoneticPr fontId="1" type="noConversion"/>
  </si>
  <si>
    <t>d3</t>
    <phoneticPr fontId="1" type="noConversion"/>
  </si>
  <si>
    <t>s3</t>
    <phoneticPr fontId="1" type="noConversion"/>
  </si>
  <si>
    <t>2026.09.30</t>
    <phoneticPr fontId="1" type="noConversion"/>
  </si>
  <si>
    <t>2211-223210</t>
    <phoneticPr fontId="1" type="noConversion"/>
  </si>
  <si>
    <t>Supplie A</t>
    <phoneticPr fontId="1" type="noConversion"/>
  </si>
  <si>
    <t>Supplie B</t>
    <phoneticPr fontId="1" type="noConversion"/>
  </si>
  <si>
    <t>Supplie C</t>
    <phoneticPr fontId="1" type="noConversion"/>
  </si>
  <si>
    <t>Supplie D</t>
    <phoneticPr fontId="1" type="noConversion"/>
  </si>
  <si>
    <t>2233-112309</t>
    <phoneticPr fontId="1" type="noConversion"/>
  </si>
  <si>
    <t>HLKJ9</t>
    <phoneticPr fontId="1" type="noConversion"/>
  </si>
  <si>
    <t>H989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</si>
</sst>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8AFE-B497-43E0-AE0E-0A12B5259453}">
  <dimension ref="B3:AB17"/>
  <sheetViews>
    <sheetView showGridLines="0" tabSelected="1" zoomScaleNormal="100" workbookViewId="0">
      <selection activeCell="I9" sqref="I9"/>
    </sheetView>
  </sheetViews>
  <sheetFormatPr defaultRowHeight="16.5" x14ac:dyDescent="0.3"/>
  <cols>
    <col min="1" max="1" width="3.625" style="1" customWidth="1"/>
    <col min="2" max="2" width="13" style="1" bestFit="1" customWidth="1"/>
    <col min="3" max="3" width="12.5" style="1" bestFit="1" customWidth="1"/>
    <col min="4" max="4" width="10.375" style="1" bestFit="1" customWidth="1"/>
    <col min="5" max="5" width="14.25" style="1" customWidth="1"/>
    <col min="6" max="6" width="6.625" style="1" bestFit="1" customWidth="1"/>
    <col min="7" max="7" width="11.625" style="1" bestFit="1" customWidth="1"/>
    <col min="8" max="8" width="12.5" style="1" bestFit="1" customWidth="1"/>
    <col min="9" max="9" width="7.125" style="1" customWidth="1"/>
    <col min="10" max="10" width="11.625" style="1" bestFit="1" customWidth="1"/>
    <col min="11" max="11" width="7.25" style="1" bestFit="1" customWidth="1"/>
    <col min="12" max="13" width="7.25" style="1" customWidth="1"/>
    <col min="14" max="15" width="9" style="1" bestFit="1" customWidth="1"/>
    <col min="16" max="27" width="9.875" style="1" customWidth="1"/>
    <col min="28" max="16384" width="9" style="1"/>
  </cols>
  <sheetData>
    <row r="3" spans="2:28" x14ac:dyDescent="0.3">
      <c r="B3" s="12" t="s">
        <v>42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9" t="s">
        <v>43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spans="2:28" x14ac:dyDescent="0.3">
      <c r="B4" s="3" t="s">
        <v>41</v>
      </c>
      <c r="C4" s="3" t="s">
        <v>1</v>
      </c>
      <c r="D4" s="3" t="s">
        <v>0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2</v>
      </c>
      <c r="M4" s="3" t="s">
        <v>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</row>
    <row r="5" spans="2:28" x14ac:dyDescent="0.3">
      <c r="B5" s="2" t="s">
        <v>44</v>
      </c>
      <c r="C5" s="4" t="s">
        <v>5</v>
      </c>
      <c r="D5" s="2" t="s">
        <v>49</v>
      </c>
      <c r="E5" s="2" t="s">
        <v>29</v>
      </c>
      <c r="F5" s="2" t="s">
        <v>38</v>
      </c>
      <c r="G5" s="2">
        <v>6.3</v>
      </c>
      <c r="H5" s="2">
        <v>47</v>
      </c>
      <c r="I5" s="2">
        <v>1005</v>
      </c>
      <c r="J5" s="2">
        <v>3.15</v>
      </c>
      <c r="K5" s="2" t="s">
        <v>40</v>
      </c>
      <c r="L5" s="2">
        <v>4.4000000000000004</v>
      </c>
      <c r="M5" s="2">
        <v>3.3</v>
      </c>
      <c r="N5" s="2">
        <v>6.5</v>
      </c>
      <c r="O5" s="2">
        <v>234</v>
      </c>
      <c r="P5" s="2">
        <v>700</v>
      </c>
      <c r="Q5" s="2">
        <f t="shared" ref="Q5:AB5" si="0">P5/2</f>
        <v>350</v>
      </c>
      <c r="R5" s="2">
        <f t="shared" si="0"/>
        <v>175</v>
      </c>
      <c r="S5" s="2">
        <f t="shared" si="0"/>
        <v>87.5</v>
      </c>
      <c r="T5" s="2">
        <f t="shared" si="0"/>
        <v>43.75</v>
      </c>
      <c r="U5" s="2">
        <f t="shared" si="0"/>
        <v>21.875</v>
      </c>
      <c r="V5" s="2">
        <f t="shared" si="0"/>
        <v>10.9375</v>
      </c>
      <c r="W5" s="2">
        <f t="shared" si="0"/>
        <v>5.46875</v>
      </c>
      <c r="X5" s="2">
        <f t="shared" si="0"/>
        <v>2.734375</v>
      </c>
      <c r="Y5" s="2">
        <f t="shared" si="0"/>
        <v>1.3671875</v>
      </c>
      <c r="Z5" s="2">
        <f t="shared" si="0"/>
        <v>0.68359375</v>
      </c>
      <c r="AA5" s="2">
        <f t="shared" si="0"/>
        <v>0.341796875</v>
      </c>
      <c r="AB5" s="2">
        <f t="shared" si="0"/>
        <v>0.1708984375</v>
      </c>
    </row>
    <row r="6" spans="2:28" x14ac:dyDescent="0.3">
      <c r="B6" s="2" t="s">
        <v>44</v>
      </c>
      <c r="C6" s="5" t="s">
        <v>4</v>
      </c>
      <c r="D6" s="2" t="s">
        <v>49</v>
      </c>
      <c r="E6" s="2" t="s">
        <v>30</v>
      </c>
      <c r="F6" s="2" t="s">
        <v>38</v>
      </c>
      <c r="G6" s="2">
        <v>4</v>
      </c>
      <c r="H6" s="2">
        <v>4.7</v>
      </c>
      <c r="I6" s="2">
        <v>1608</v>
      </c>
      <c r="J6" s="2">
        <v>2</v>
      </c>
      <c r="K6" s="2" t="s">
        <v>40</v>
      </c>
      <c r="L6" s="2">
        <v>2.2000000000000002</v>
      </c>
      <c r="M6" s="2">
        <v>4.3</v>
      </c>
      <c r="N6" s="2">
        <v>45.2</v>
      </c>
      <c r="O6" s="2">
        <v>5634</v>
      </c>
      <c r="P6" s="2">
        <v>1030</v>
      </c>
      <c r="Q6" s="2">
        <f t="shared" ref="Q6:S15" si="1">P6/2</f>
        <v>515</v>
      </c>
      <c r="R6" s="2">
        <f t="shared" si="1"/>
        <v>257.5</v>
      </c>
      <c r="S6" s="2">
        <f t="shared" si="1"/>
        <v>128.75</v>
      </c>
      <c r="T6" s="2">
        <f t="shared" ref="T6:AB6" si="2">S6/2</f>
        <v>64.375</v>
      </c>
      <c r="U6" s="2">
        <f t="shared" si="2"/>
        <v>32.1875</v>
      </c>
      <c r="V6" s="2">
        <f t="shared" si="2"/>
        <v>16.09375</v>
      </c>
      <c r="W6" s="2">
        <f t="shared" si="2"/>
        <v>8.046875</v>
      </c>
      <c r="X6" s="2">
        <f t="shared" si="2"/>
        <v>4.0234375</v>
      </c>
      <c r="Y6" s="2">
        <f t="shared" si="2"/>
        <v>2.01171875</v>
      </c>
      <c r="Z6" s="2">
        <f t="shared" si="2"/>
        <v>1.005859375</v>
      </c>
      <c r="AA6" s="2">
        <f t="shared" si="2"/>
        <v>0.5029296875</v>
      </c>
      <c r="AB6" s="2">
        <f t="shared" si="2"/>
        <v>0.25146484375</v>
      </c>
    </row>
    <row r="7" spans="2:28" x14ac:dyDescent="0.3">
      <c r="B7" s="2" t="s">
        <v>44</v>
      </c>
      <c r="C7" s="6" t="s">
        <v>6</v>
      </c>
      <c r="D7" s="2" t="s">
        <v>49</v>
      </c>
      <c r="E7" s="2" t="s">
        <v>31</v>
      </c>
      <c r="F7" s="2" t="s">
        <v>39</v>
      </c>
      <c r="G7" s="2">
        <v>10</v>
      </c>
      <c r="H7" s="2">
        <v>10</v>
      </c>
      <c r="I7" s="2">
        <v>1608</v>
      </c>
      <c r="J7" s="2">
        <v>5</v>
      </c>
      <c r="K7" s="2" t="s">
        <v>40</v>
      </c>
      <c r="L7" s="2">
        <v>3.2</v>
      </c>
      <c r="M7" s="2">
        <v>3.1</v>
      </c>
      <c r="N7" s="2">
        <v>2.2999999999999998</v>
      </c>
      <c r="O7" s="2">
        <v>33</v>
      </c>
      <c r="P7" s="2">
        <v>35000</v>
      </c>
      <c r="Q7" s="2">
        <f t="shared" si="1"/>
        <v>17500</v>
      </c>
      <c r="R7" s="2">
        <f t="shared" si="1"/>
        <v>8750</v>
      </c>
      <c r="S7" s="2">
        <f t="shared" si="1"/>
        <v>4375</v>
      </c>
      <c r="T7" s="2">
        <f t="shared" ref="T7:AB7" si="3">S7/2</f>
        <v>2187.5</v>
      </c>
      <c r="U7" s="2">
        <f t="shared" si="3"/>
        <v>1093.75</v>
      </c>
      <c r="V7" s="2">
        <f t="shared" si="3"/>
        <v>546.875</v>
      </c>
      <c r="W7" s="2">
        <f t="shared" si="3"/>
        <v>273.4375</v>
      </c>
      <c r="X7" s="2">
        <f t="shared" si="3"/>
        <v>136.71875</v>
      </c>
      <c r="Y7" s="2">
        <f t="shared" si="3"/>
        <v>68.359375</v>
      </c>
      <c r="Z7" s="2">
        <f t="shared" si="3"/>
        <v>34.1796875</v>
      </c>
      <c r="AA7" s="2">
        <f t="shared" si="3"/>
        <v>17.08984375</v>
      </c>
      <c r="AB7" s="2">
        <f t="shared" si="3"/>
        <v>8.544921875</v>
      </c>
    </row>
    <row r="8" spans="2:28" x14ac:dyDescent="0.3">
      <c r="B8" s="2" t="s">
        <v>44</v>
      </c>
      <c r="C8" s="4" t="s">
        <v>5</v>
      </c>
      <c r="D8" s="2" t="s">
        <v>50</v>
      </c>
      <c r="E8" s="2" t="s">
        <v>32</v>
      </c>
      <c r="F8" s="2" t="s">
        <v>38</v>
      </c>
      <c r="G8" s="2">
        <v>6.3</v>
      </c>
      <c r="H8" s="2">
        <v>47</v>
      </c>
      <c r="I8" s="2">
        <v>1005</v>
      </c>
      <c r="J8" s="2">
        <v>3.15</v>
      </c>
      <c r="K8" s="2" t="s">
        <v>40</v>
      </c>
      <c r="L8" s="2">
        <v>4.3</v>
      </c>
      <c r="M8" s="2">
        <v>2.2999999999999998</v>
      </c>
      <c r="N8" s="2">
        <v>4.5</v>
      </c>
      <c r="O8" s="2">
        <v>215</v>
      </c>
      <c r="P8" s="2">
        <v>650</v>
      </c>
      <c r="Q8" s="2">
        <f t="shared" si="1"/>
        <v>325</v>
      </c>
      <c r="R8" s="2">
        <f t="shared" si="1"/>
        <v>162.5</v>
      </c>
      <c r="S8" s="2">
        <f t="shared" si="1"/>
        <v>81.25</v>
      </c>
      <c r="T8" s="2">
        <f t="shared" ref="T8:AB8" si="4">S8/2</f>
        <v>40.625</v>
      </c>
      <c r="U8" s="2">
        <f t="shared" si="4"/>
        <v>20.3125</v>
      </c>
      <c r="V8" s="2">
        <f t="shared" si="4"/>
        <v>10.15625</v>
      </c>
      <c r="W8" s="2">
        <f t="shared" si="4"/>
        <v>5.078125</v>
      </c>
      <c r="X8" s="2">
        <f t="shared" si="4"/>
        <v>2.5390625</v>
      </c>
      <c r="Y8" s="2">
        <f t="shared" si="4"/>
        <v>1.26953125</v>
      </c>
      <c r="Z8" s="2">
        <f t="shared" si="4"/>
        <v>0.634765625</v>
      </c>
      <c r="AA8" s="2">
        <f t="shared" si="4"/>
        <v>0.3173828125</v>
      </c>
      <c r="AB8" s="2">
        <f t="shared" si="4"/>
        <v>0.15869140625</v>
      </c>
    </row>
    <row r="9" spans="2:28" x14ac:dyDescent="0.3">
      <c r="B9" s="2" t="s">
        <v>44</v>
      </c>
      <c r="C9" s="4" t="s">
        <v>5</v>
      </c>
      <c r="D9" s="2" t="s">
        <v>50</v>
      </c>
      <c r="E9" s="2" t="s">
        <v>45</v>
      </c>
      <c r="F9" s="2" t="s">
        <v>38</v>
      </c>
      <c r="G9" s="2">
        <v>6.3</v>
      </c>
      <c r="H9" s="2">
        <v>47</v>
      </c>
      <c r="I9" s="2">
        <v>1608</v>
      </c>
      <c r="J9" s="2">
        <v>1.8</v>
      </c>
      <c r="K9" s="2" t="s">
        <v>40</v>
      </c>
      <c r="L9" s="2">
        <v>4.3</v>
      </c>
      <c r="M9" s="2">
        <v>2.2999999999999998</v>
      </c>
      <c r="N9" s="2">
        <v>4.5</v>
      </c>
      <c r="O9" s="2">
        <v>1010</v>
      </c>
      <c r="P9" s="2">
        <v>1300</v>
      </c>
      <c r="Q9" s="2">
        <f t="shared" ref="Q9" si="5">P9/2</f>
        <v>650</v>
      </c>
      <c r="R9" s="2">
        <f t="shared" ref="R9" si="6">Q9/2</f>
        <v>325</v>
      </c>
      <c r="S9" s="2">
        <f t="shared" ref="S9" si="7">R9/2</f>
        <v>162.5</v>
      </c>
      <c r="T9" s="2">
        <f t="shared" ref="T9" si="8">S9/2</f>
        <v>81.25</v>
      </c>
      <c r="U9" s="2">
        <f t="shared" ref="U9" si="9">T9/2</f>
        <v>40.625</v>
      </c>
      <c r="V9" s="2">
        <f t="shared" ref="V9" si="10">U9/2</f>
        <v>20.3125</v>
      </c>
      <c r="W9" s="2">
        <f t="shared" ref="W9" si="11">V9/2</f>
        <v>10.15625</v>
      </c>
      <c r="X9" s="2">
        <f t="shared" ref="X9" si="12">W9/2</f>
        <v>5.078125</v>
      </c>
      <c r="Y9" s="2">
        <f t="shared" ref="Y9" si="13">X9/2</f>
        <v>2.5390625</v>
      </c>
      <c r="Z9" s="2">
        <f t="shared" ref="Z9" si="14">Y9/2</f>
        <v>1.26953125</v>
      </c>
      <c r="AA9" s="2">
        <f t="shared" ref="AA9" si="15">Z9/2</f>
        <v>0.634765625</v>
      </c>
      <c r="AB9" s="2">
        <f t="shared" ref="AB9" si="16">AA9/2</f>
        <v>0.3173828125</v>
      </c>
    </row>
    <row r="10" spans="2:28" x14ac:dyDescent="0.3">
      <c r="B10" s="2" t="s">
        <v>44</v>
      </c>
      <c r="C10" s="5" t="s">
        <v>4</v>
      </c>
      <c r="D10" s="2" t="s">
        <v>50</v>
      </c>
      <c r="E10" s="2" t="s">
        <v>33</v>
      </c>
      <c r="F10" s="2" t="s">
        <v>38</v>
      </c>
      <c r="G10" s="2">
        <v>4</v>
      </c>
      <c r="H10" s="2">
        <v>4.7</v>
      </c>
      <c r="I10" s="2">
        <v>1608</v>
      </c>
      <c r="J10" s="2">
        <v>2</v>
      </c>
      <c r="K10" s="2" t="s">
        <v>40</v>
      </c>
      <c r="L10" s="2">
        <v>2.2999999999999998</v>
      </c>
      <c r="M10" s="2">
        <v>5.4</v>
      </c>
      <c r="N10" s="2">
        <v>8.6</v>
      </c>
      <c r="O10" s="2">
        <v>3434</v>
      </c>
      <c r="P10" s="2">
        <v>980</v>
      </c>
      <c r="Q10" s="2">
        <f t="shared" si="1"/>
        <v>490</v>
      </c>
      <c r="R10" s="2">
        <f t="shared" si="1"/>
        <v>245</v>
      </c>
      <c r="S10" s="2">
        <f t="shared" si="1"/>
        <v>122.5</v>
      </c>
      <c r="T10" s="2">
        <f t="shared" ref="T10:AB10" si="17">S10/2</f>
        <v>61.25</v>
      </c>
      <c r="U10" s="2">
        <f t="shared" si="17"/>
        <v>30.625</v>
      </c>
      <c r="V10" s="2">
        <f t="shared" si="17"/>
        <v>15.3125</v>
      </c>
      <c r="W10" s="2">
        <f t="shared" si="17"/>
        <v>7.65625</v>
      </c>
      <c r="X10" s="2">
        <f t="shared" si="17"/>
        <v>3.828125</v>
      </c>
      <c r="Y10" s="2">
        <f t="shared" si="17"/>
        <v>1.9140625</v>
      </c>
      <c r="Z10" s="2">
        <f t="shared" si="17"/>
        <v>0.95703125</v>
      </c>
      <c r="AA10" s="2">
        <f t="shared" si="17"/>
        <v>0.478515625</v>
      </c>
      <c r="AB10" s="2">
        <f t="shared" si="17"/>
        <v>0.2392578125</v>
      </c>
    </row>
    <row r="11" spans="2:28" x14ac:dyDescent="0.3">
      <c r="B11" s="2" t="s">
        <v>44</v>
      </c>
      <c r="C11" s="5" t="s">
        <v>4</v>
      </c>
      <c r="D11" s="2" t="s">
        <v>50</v>
      </c>
      <c r="E11" s="2" t="s">
        <v>46</v>
      </c>
      <c r="F11" s="2" t="s">
        <v>38</v>
      </c>
      <c r="G11" s="2">
        <v>4</v>
      </c>
      <c r="H11" s="2">
        <v>4.7</v>
      </c>
      <c r="I11" s="2">
        <v>1608</v>
      </c>
      <c r="J11" s="2">
        <v>1.2</v>
      </c>
      <c r="K11" s="2" t="s">
        <v>40</v>
      </c>
      <c r="L11" s="2">
        <v>2.2999999999999998</v>
      </c>
      <c r="M11" s="2">
        <v>5.4</v>
      </c>
      <c r="N11" s="2">
        <v>8.6</v>
      </c>
      <c r="O11" s="2">
        <v>4000</v>
      </c>
      <c r="P11" s="2">
        <v>1700</v>
      </c>
      <c r="Q11" s="2">
        <f t="shared" ref="Q11" si="18">P11/2</f>
        <v>850</v>
      </c>
      <c r="R11" s="2">
        <f t="shared" ref="R11" si="19">Q11/2</f>
        <v>425</v>
      </c>
      <c r="S11" s="2">
        <f t="shared" ref="S11" si="20">R11/2</f>
        <v>212.5</v>
      </c>
      <c r="T11" s="2">
        <f t="shared" ref="T11" si="21">S11/2</f>
        <v>106.25</v>
      </c>
      <c r="U11" s="2">
        <f t="shared" ref="U11" si="22">T11/2</f>
        <v>53.125</v>
      </c>
      <c r="V11" s="2">
        <f t="shared" ref="V11" si="23">U11/2</f>
        <v>26.5625</v>
      </c>
      <c r="W11" s="2">
        <f t="shared" ref="W11" si="24">V11/2</f>
        <v>13.28125</v>
      </c>
      <c r="X11" s="2">
        <f t="shared" ref="X11" si="25">W11/2</f>
        <v>6.640625</v>
      </c>
      <c r="Y11" s="2">
        <f t="shared" ref="Y11" si="26">X11/2</f>
        <v>3.3203125</v>
      </c>
      <c r="Z11" s="2">
        <f t="shared" ref="Z11" si="27">Y11/2</f>
        <v>1.66015625</v>
      </c>
      <c r="AA11" s="2">
        <f t="shared" ref="AA11" si="28">Z11/2</f>
        <v>0.830078125</v>
      </c>
      <c r="AB11" s="2">
        <f t="shared" ref="AB11" si="29">AA11/2</f>
        <v>0.4150390625</v>
      </c>
    </row>
    <row r="12" spans="2:28" x14ac:dyDescent="0.3">
      <c r="B12" s="2" t="s">
        <v>44</v>
      </c>
      <c r="C12" s="6" t="s">
        <v>6</v>
      </c>
      <c r="D12" s="2" t="s">
        <v>50</v>
      </c>
      <c r="E12" s="2" t="s">
        <v>34</v>
      </c>
      <c r="F12" s="2" t="s">
        <v>39</v>
      </c>
      <c r="G12" s="2">
        <v>10</v>
      </c>
      <c r="H12" s="2">
        <v>10</v>
      </c>
      <c r="I12" s="2">
        <v>1608</v>
      </c>
      <c r="J12" s="2">
        <v>5</v>
      </c>
      <c r="K12" s="2" t="s">
        <v>40</v>
      </c>
      <c r="L12" s="2">
        <v>2.5</v>
      </c>
      <c r="M12" s="2">
        <v>3.4</v>
      </c>
      <c r="N12" s="2">
        <v>44.6</v>
      </c>
      <c r="O12" s="2">
        <v>4</v>
      </c>
      <c r="P12" s="2">
        <v>39000</v>
      </c>
      <c r="Q12" s="2">
        <f t="shared" si="1"/>
        <v>19500</v>
      </c>
      <c r="R12" s="2">
        <f t="shared" si="1"/>
        <v>9750</v>
      </c>
      <c r="S12" s="2">
        <f t="shared" si="1"/>
        <v>4875</v>
      </c>
      <c r="T12" s="2">
        <f t="shared" ref="T12:AB12" si="30">S12/2</f>
        <v>2437.5</v>
      </c>
      <c r="U12" s="2">
        <f t="shared" si="30"/>
        <v>1218.75</v>
      </c>
      <c r="V12" s="2">
        <f t="shared" si="30"/>
        <v>609.375</v>
      </c>
      <c r="W12" s="2">
        <f t="shared" si="30"/>
        <v>304.6875</v>
      </c>
      <c r="X12" s="2">
        <f t="shared" si="30"/>
        <v>152.34375</v>
      </c>
      <c r="Y12" s="2">
        <f t="shared" si="30"/>
        <v>76.171875</v>
      </c>
      <c r="Z12" s="2">
        <f t="shared" si="30"/>
        <v>38.0859375</v>
      </c>
      <c r="AA12" s="2">
        <f t="shared" si="30"/>
        <v>19.04296875</v>
      </c>
      <c r="AB12" s="2">
        <f t="shared" si="30"/>
        <v>9.521484375</v>
      </c>
    </row>
    <row r="13" spans="2:28" x14ac:dyDescent="0.3">
      <c r="B13" s="2" t="s">
        <v>44</v>
      </c>
      <c r="C13" s="4" t="s">
        <v>5</v>
      </c>
      <c r="D13" s="2" t="s">
        <v>51</v>
      </c>
      <c r="E13" s="2" t="s">
        <v>35</v>
      </c>
      <c r="F13" s="2" t="s">
        <v>38</v>
      </c>
      <c r="G13" s="2">
        <v>6.3</v>
      </c>
      <c r="H13" s="2">
        <v>47</v>
      </c>
      <c r="I13" s="2">
        <v>1005</v>
      </c>
      <c r="J13" s="2">
        <v>3.15</v>
      </c>
      <c r="K13" s="2" t="s">
        <v>40</v>
      </c>
      <c r="L13" s="2">
        <v>6.4</v>
      </c>
      <c r="M13" s="2">
        <v>6.4</v>
      </c>
      <c r="N13" s="2">
        <v>77.599999999999994</v>
      </c>
      <c r="O13" s="2">
        <v>3435</v>
      </c>
      <c r="P13" s="2">
        <v>1400</v>
      </c>
      <c r="Q13" s="2">
        <f t="shared" si="1"/>
        <v>700</v>
      </c>
      <c r="R13" s="2">
        <f t="shared" si="1"/>
        <v>350</v>
      </c>
      <c r="S13" s="2">
        <f t="shared" si="1"/>
        <v>175</v>
      </c>
      <c r="T13" s="2">
        <f t="shared" ref="T13:AB13" si="31">S13/2</f>
        <v>87.5</v>
      </c>
      <c r="U13" s="2">
        <f t="shared" si="31"/>
        <v>43.75</v>
      </c>
      <c r="V13" s="2">
        <f t="shared" si="31"/>
        <v>21.875</v>
      </c>
      <c r="W13" s="2">
        <f t="shared" si="31"/>
        <v>10.9375</v>
      </c>
      <c r="X13" s="2">
        <f t="shared" si="31"/>
        <v>5.46875</v>
      </c>
      <c r="Y13" s="2">
        <f t="shared" si="31"/>
        <v>2.734375</v>
      </c>
      <c r="Z13" s="2">
        <f t="shared" si="31"/>
        <v>1.3671875</v>
      </c>
      <c r="AA13" s="2">
        <f t="shared" si="31"/>
        <v>0.68359375</v>
      </c>
      <c r="AB13" s="2">
        <f t="shared" si="31"/>
        <v>0.341796875</v>
      </c>
    </row>
    <row r="14" spans="2:28" x14ac:dyDescent="0.3">
      <c r="B14" s="2" t="s">
        <v>44</v>
      </c>
      <c r="C14" s="5" t="s">
        <v>4</v>
      </c>
      <c r="D14" s="2" t="s">
        <v>51</v>
      </c>
      <c r="E14" s="2" t="s">
        <v>36</v>
      </c>
      <c r="F14" s="2" t="s">
        <v>38</v>
      </c>
      <c r="G14" s="2">
        <v>4</v>
      </c>
      <c r="H14" s="2">
        <v>4.7</v>
      </c>
      <c r="I14" s="2">
        <v>1608</v>
      </c>
      <c r="J14" s="2">
        <v>2</v>
      </c>
      <c r="K14" s="2" t="s">
        <v>40</v>
      </c>
      <c r="L14" s="2">
        <v>3.2</v>
      </c>
      <c r="M14" s="2">
        <v>3.2</v>
      </c>
      <c r="N14" s="2">
        <v>2.4</v>
      </c>
      <c r="O14" s="2">
        <v>243</v>
      </c>
      <c r="P14" s="2">
        <v>235</v>
      </c>
      <c r="Q14" s="2">
        <f t="shared" si="1"/>
        <v>117.5</v>
      </c>
      <c r="R14" s="2">
        <f t="shared" si="1"/>
        <v>58.75</v>
      </c>
      <c r="S14" s="2">
        <f t="shared" si="1"/>
        <v>29.375</v>
      </c>
      <c r="T14" s="2">
        <f t="shared" ref="T14:AB14" si="32">S14/2</f>
        <v>14.6875</v>
      </c>
      <c r="U14" s="2">
        <f t="shared" si="32"/>
        <v>7.34375</v>
      </c>
      <c r="V14" s="2">
        <f t="shared" si="32"/>
        <v>3.671875</v>
      </c>
      <c r="W14" s="2">
        <f t="shared" si="32"/>
        <v>1.8359375</v>
      </c>
      <c r="X14" s="2">
        <f t="shared" si="32"/>
        <v>0.91796875</v>
      </c>
      <c r="Y14" s="2">
        <f t="shared" si="32"/>
        <v>0.458984375</v>
      </c>
      <c r="Z14" s="2">
        <f t="shared" si="32"/>
        <v>0.2294921875</v>
      </c>
      <c r="AA14" s="2">
        <f t="shared" si="32"/>
        <v>0.11474609375</v>
      </c>
      <c r="AB14" s="2">
        <f t="shared" si="32"/>
        <v>5.7373046875E-2</v>
      </c>
    </row>
    <row r="15" spans="2:28" x14ac:dyDescent="0.3">
      <c r="B15" s="2" t="s">
        <v>44</v>
      </c>
      <c r="C15" s="6" t="s">
        <v>6</v>
      </c>
      <c r="D15" s="2" t="s">
        <v>51</v>
      </c>
      <c r="E15" s="2" t="s">
        <v>37</v>
      </c>
      <c r="F15" s="2" t="s">
        <v>39</v>
      </c>
      <c r="G15" s="2">
        <v>10</v>
      </c>
      <c r="H15" s="2">
        <v>10</v>
      </c>
      <c r="I15" s="2">
        <v>1608</v>
      </c>
      <c r="J15" s="2">
        <v>5</v>
      </c>
      <c r="K15" s="2" t="s">
        <v>40</v>
      </c>
      <c r="L15" s="2">
        <v>4.3</v>
      </c>
      <c r="M15" s="2">
        <v>1.2</v>
      </c>
      <c r="N15" s="2">
        <v>32.1</v>
      </c>
      <c r="O15" s="2">
        <v>34</v>
      </c>
      <c r="P15" s="2">
        <v>28000</v>
      </c>
      <c r="Q15" s="2">
        <f t="shared" si="1"/>
        <v>14000</v>
      </c>
      <c r="R15" s="2">
        <f t="shared" si="1"/>
        <v>7000</v>
      </c>
      <c r="S15" s="2">
        <f t="shared" si="1"/>
        <v>3500</v>
      </c>
      <c r="T15" s="2">
        <f t="shared" ref="T15:AB17" si="33">S15/2</f>
        <v>1750</v>
      </c>
      <c r="U15" s="2">
        <f t="shared" si="33"/>
        <v>875</v>
      </c>
      <c r="V15" s="2">
        <f t="shared" si="33"/>
        <v>437.5</v>
      </c>
      <c r="W15" s="2">
        <f t="shared" si="33"/>
        <v>218.75</v>
      </c>
      <c r="X15" s="2">
        <f t="shared" si="33"/>
        <v>109.375</v>
      </c>
      <c r="Y15" s="2">
        <f t="shared" si="33"/>
        <v>54.6875</v>
      </c>
      <c r="Z15" s="2">
        <f t="shared" si="33"/>
        <v>27.34375</v>
      </c>
      <c r="AA15" s="2">
        <f t="shared" si="33"/>
        <v>13.671875</v>
      </c>
      <c r="AB15" s="2">
        <f t="shared" si="33"/>
        <v>6.8359375</v>
      </c>
    </row>
    <row r="16" spans="2:28" x14ac:dyDescent="0.3">
      <c r="B16" s="8" t="s">
        <v>47</v>
      </c>
      <c r="C16" s="7" t="s">
        <v>48</v>
      </c>
      <c r="D16" s="2" t="s">
        <v>52</v>
      </c>
      <c r="E16" s="2" t="s">
        <v>54</v>
      </c>
      <c r="F16" s="2" t="s">
        <v>38</v>
      </c>
      <c r="G16" s="2">
        <v>100</v>
      </c>
      <c r="H16" s="2">
        <v>4.7</v>
      </c>
      <c r="I16" s="2">
        <v>1608</v>
      </c>
      <c r="J16" s="2">
        <v>2</v>
      </c>
      <c r="K16" s="2" t="s">
        <v>40</v>
      </c>
      <c r="L16" s="2">
        <v>5.3</v>
      </c>
      <c r="M16" s="2">
        <v>3.6</v>
      </c>
      <c r="N16" s="2">
        <v>9.1999999999999993</v>
      </c>
      <c r="O16" s="2">
        <v>1002</v>
      </c>
      <c r="P16" s="2">
        <v>1020</v>
      </c>
      <c r="Q16" s="2">
        <f t="shared" ref="Q16:Q17" si="34">P16/2</f>
        <v>510</v>
      </c>
      <c r="R16" s="2">
        <f t="shared" ref="R16:R17" si="35">Q16/2</f>
        <v>255</v>
      </c>
      <c r="S16" s="2">
        <f t="shared" ref="S16:S17" si="36">R16/2</f>
        <v>127.5</v>
      </c>
      <c r="T16" s="2">
        <f t="shared" si="33"/>
        <v>63.75</v>
      </c>
      <c r="U16" s="2">
        <f t="shared" si="33"/>
        <v>31.875</v>
      </c>
      <c r="V16" s="2">
        <f t="shared" si="33"/>
        <v>15.9375</v>
      </c>
      <c r="W16" s="2">
        <f t="shared" si="33"/>
        <v>7.96875</v>
      </c>
      <c r="X16" s="2">
        <f t="shared" si="33"/>
        <v>3.984375</v>
      </c>
      <c r="Y16" s="2">
        <f t="shared" si="33"/>
        <v>1.9921875</v>
      </c>
      <c r="Z16" s="2">
        <f t="shared" si="33"/>
        <v>0.99609375</v>
      </c>
      <c r="AA16" s="2">
        <f t="shared" si="33"/>
        <v>0.498046875</v>
      </c>
      <c r="AB16" s="2">
        <f t="shared" si="33"/>
        <v>0.2490234375</v>
      </c>
    </row>
    <row r="17" spans="2:28" x14ac:dyDescent="0.3">
      <c r="B17" s="8" t="s">
        <v>47</v>
      </c>
      <c r="C17" s="7" t="s">
        <v>53</v>
      </c>
      <c r="D17" s="2" t="s">
        <v>52</v>
      </c>
      <c r="E17" s="2" t="s">
        <v>55</v>
      </c>
      <c r="F17" s="2" t="s">
        <v>38</v>
      </c>
      <c r="G17" s="2">
        <v>100</v>
      </c>
      <c r="H17" s="2">
        <v>4.7</v>
      </c>
      <c r="I17" s="2">
        <v>1608</v>
      </c>
      <c r="J17" s="2">
        <v>2</v>
      </c>
      <c r="K17" s="2" t="s">
        <v>40</v>
      </c>
      <c r="L17" s="2">
        <v>4.0999999999999996</v>
      </c>
      <c r="M17" s="2">
        <v>3.9</v>
      </c>
      <c r="N17" s="2">
        <v>8.5</v>
      </c>
      <c r="O17" s="2">
        <v>1053</v>
      </c>
      <c r="P17" s="2">
        <v>6000</v>
      </c>
      <c r="Q17" s="2">
        <f t="shared" si="34"/>
        <v>3000</v>
      </c>
      <c r="R17" s="2">
        <f t="shared" si="35"/>
        <v>1500</v>
      </c>
      <c r="S17" s="2">
        <f t="shared" si="36"/>
        <v>750</v>
      </c>
      <c r="T17" s="2">
        <f t="shared" si="33"/>
        <v>375</v>
      </c>
      <c r="U17" s="2">
        <f t="shared" si="33"/>
        <v>187.5</v>
      </c>
      <c r="V17" s="2">
        <f t="shared" si="33"/>
        <v>93.75</v>
      </c>
      <c r="W17" s="2">
        <f t="shared" si="33"/>
        <v>46.875</v>
      </c>
      <c r="X17" s="2">
        <f t="shared" si="33"/>
        <v>23.4375</v>
      </c>
      <c r="Y17" s="2">
        <f t="shared" si="33"/>
        <v>11.71875</v>
      </c>
      <c r="Z17" s="2">
        <f t="shared" si="33"/>
        <v>5.859375</v>
      </c>
      <c r="AA17" s="2">
        <f t="shared" si="33"/>
        <v>2.9296875</v>
      </c>
      <c r="AB17" s="2">
        <f t="shared" si="33"/>
        <v>1.46484375</v>
      </c>
    </row>
  </sheetData>
  <mergeCells count="2">
    <mergeCell ref="P3:AB3"/>
    <mergeCell ref="B3:O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2026-09-29T02:02:05Z</dcterms:created>
  <dcterms:modified xsi:type="dcterms:W3CDTF">2026-09-30T00:28:15Z</dcterms:modified>
</cp:coreProperties>
</file>