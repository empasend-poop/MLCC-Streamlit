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EA3A183-91AC-4214-B027-E24D00E857D8}" xr6:coauthVersionLast="47" xr6:coauthVersionMax="47" xr10:uidLastSave="{00000000-0000-0000-0000-000000000000}"/>
  <bookViews>
    <workbookView xWindow="-120" yWindow="-120" windowWidth="29040" windowHeight="15720" xr2:uid="{DD21264B-7F4D-4808-A1EE-9D5B44D53BA3}"/>
  </bookViews>
  <sheets>
    <sheet name="수명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6" i="2" l="1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Q15" i="2"/>
  <c r="R15" i="2" s="1"/>
  <c r="S15" i="2" s="1"/>
  <c r="T15" i="2" s="1"/>
  <c r="U15" i="2" s="1"/>
  <c r="V15" i="2" s="1"/>
  <c r="W15" i="2" s="1"/>
  <c r="X15" i="2" s="1"/>
  <c r="Y15" i="2" s="1"/>
  <c r="Z15" i="2" s="1"/>
  <c r="AA15" i="2" s="1"/>
  <c r="AB15" i="2" s="1"/>
  <c r="Q14" i="2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Q13" i="2"/>
  <c r="R13" i="2" s="1"/>
  <c r="S13" i="2" s="1"/>
  <c r="T13" i="2" s="1"/>
  <c r="U13" i="2" s="1"/>
  <c r="V13" i="2" s="1"/>
  <c r="W13" i="2" s="1"/>
  <c r="X13" i="2" s="1"/>
  <c r="Y13" i="2" s="1"/>
  <c r="Z13" i="2" s="1"/>
  <c r="AA13" i="2" s="1"/>
  <c r="AB13" i="2" s="1"/>
  <c r="Q12" i="2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Q11" i="2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Q10" i="2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Q9" i="2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Q8" i="2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</calcChain>
</file>

<file path=xl/sharedStrings.xml><?xml version="1.0" encoding="utf-8"?>
<sst xmlns="http://schemas.openxmlformats.org/spreadsheetml/2006/main" count="84" uniqueCount="49">
  <si>
    <t>부품사</t>
    <phoneticPr fontId="1" type="noConversion"/>
  </si>
  <si>
    <t>자재코드</t>
    <phoneticPr fontId="1" type="noConversion"/>
  </si>
  <si>
    <t>태양유전</t>
    <phoneticPr fontId="1" type="noConversion"/>
  </si>
  <si>
    <t>무라타</t>
    <phoneticPr fontId="1" type="noConversion"/>
  </si>
  <si>
    <t>삼성전기</t>
    <phoneticPr fontId="1" type="noConversion"/>
  </si>
  <si>
    <t>Ea</t>
    <phoneticPr fontId="1" type="noConversion"/>
  </si>
  <si>
    <t>n</t>
    <phoneticPr fontId="1" type="noConversion"/>
  </si>
  <si>
    <t>2203-008953</t>
    <phoneticPr fontId="1" type="noConversion"/>
  </si>
  <si>
    <t>2203-007317</t>
    <phoneticPr fontId="1" type="noConversion"/>
  </si>
  <si>
    <t>2203-010255</t>
    <phoneticPr fontId="1" type="noConversion"/>
  </si>
  <si>
    <t>부품사코드</t>
    <phoneticPr fontId="1" type="noConversion"/>
  </si>
  <si>
    <t>Grade</t>
    <phoneticPr fontId="1" type="noConversion"/>
  </si>
  <si>
    <t>정격전압(V)</t>
    <phoneticPr fontId="1" type="noConversion"/>
  </si>
  <si>
    <t>정격용량(uF)</t>
    <phoneticPr fontId="1" type="noConversion"/>
  </si>
  <si>
    <t>Size</t>
    <phoneticPr fontId="1" type="noConversion"/>
  </si>
  <si>
    <t>사용전압(V)</t>
    <phoneticPr fontId="1" type="noConversion"/>
  </si>
  <si>
    <t>Bx수명</t>
    <phoneticPr fontId="1" type="noConversion"/>
  </si>
  <si>
    <t>형상모수</t>
    <phoneticPr fontId="1" type="noConversion"/>
  </si>
  <si>
    <t>척도모수</t>
    <phoneticPr fontId="1" type="noConversion"/>
  </si>
  <si>
    <t>65℃</t>
    <phoneticPr fontId="1" type="noConversion"/>
  </si>
  <si>
    <t>70℃</t>
    <phoneticPr fontId="1" type="noConversion"/>
  </si>
  <si>
    <t>75℃</t>
    <phoneticPr fontId="1" type="noConversion"/>
  </si>
  <si>
    <t>80℃</t>
    <phoneticPr fontId="1" type="noConversion"/>
  </si>
  <si>
    <t>85℃</t>
    <phoneticPr fontId="1" type="noConversion"/>
  </si>
  <si>
    <t>90℃</t>
    <phoneticPr fontId="1" type="noConversion"/>
  </si>
  <si>
    <t>95℃</t>
    <phoneticPr fontId="1" type="noConversion"/>
  </si>
  <si>
    <t>100℃</t>
    <phoneticPr fontId="1" type="noConversion"/>
  </si>
  <si>
    <t>105℃</t>
    <phoneticPr fontId="1" type="noConversion"/>
  </si>
  <si>
    <t>110℃</t>
    <phoneticPr fontId="1" type="noConversion"/>
  </si>
  <si>
    <t>115℃</t>
    <phoneticPr fontId="1" type="noConversion"/>
  </si>
  <si>
    <t>120℃</t>
    <phoneticPr fontId="1" type="noConversion"/>
  </si>
  <si>
    <t>125℃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</si>
  <si>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</si>
  <si>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</si>
  <si>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</si>
  <si>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</si>
  <si>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</si>
  <si>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</si>
  <si>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</si>
  <si>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</si>
  <si>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</si>
  <si>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X5R</t>
    <phoneticPr fontId="1" type="noConversion"/>
  </si>
  <si>
    <t>X6S</t>
    <phoneticPr fontId="1" type="noConversion"/>
  </si>
  <si>
    <t>B0.1</t>
    <phoneticPr fontId="1" type="noConversion"/>
  </si>
  <si>
    <t>업데이트일자</t>
    <phoneticPr fontId="1" type="noConversion"/>
  </si>
  <si>
    <t>MLCC 정보</t>
    <phoneticPr fontId="1" type="noConversion"/>
  </si>
  <si>
    <t>가속평가 기반, 수명산출결과</t>
    <phoneticPr fontId="1" type="noConversion"/>
  </si>
  <si>
    <t>2026.06.04</t>
    <phoneticPr fontId="1" type="noConversion"/>
  </si>
  <si>
    <t xml:space="preserve">엑셀에 있는 데이터로 dashboard 만들어줘, 요구사항은 다음과 같음 
- 부품사 -&gt; 자재코드 -&gt; 사용전압(V) 순으로 선택 가능하게끔 (예를 들어 태양유전 2203-007317에 5V 수명 데이터가 없을 경우, 아예 선택이 불가능하게끔 제외 (1.8V만 보이도록) 
- 1번 선택 이후 excel에 있는 데이터를 깔끔하게 정보표현
- '가속평가 기반, 수명산출결과' 와 부품사 간 동일한 자재코드 수명비교 그래프 추가 
- 엑셀에 신규 데이터 추가 시 자동반영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</si>
</sst>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8AFE-B497-43E0-AE0E-0A12B5259453}">
  <dimension ref="B1:AB16"/>
  <sheetViews>
    <sheetView showGridLines="0" tabSelected="1" zoomScaleNormal="100" workbookViewId="0">
      <selection activeCell="B2" sqref="B2:O2"/>
    </sheetView>
  </sheetViews>
  <sheetFormatPr defaultRowHeight="16.5" x14ac:dyDescent="0.3"/>
  <cols>
    <col min="1" max="1" width="3.625" style="1" customWidth="1"/>
    <col min="2" max="2" width="13" style="1" bestFit="1" customWidth="1"/>
    <col min="3" max="3" width="12.5" style="1" bestFit="1" customWidth="1"/>
    <col min="4" max="4" width="9" style="1"/>
    <col min="5" max="5" width="14.25" style="1" customWidth="1"/>
    <col min="6" max="6" width="6.625" style="1" bestFit="1" customWidth="1"/>
    <col min="7" max="7" width="11.625" style="1" bestFit="1" customWidth="1"/>
    <col min="8" max="8" width="12.5" style="1" bestFit="1" customWidth="1"/>
    <col min="9" max="9" width="7.125" style="1" customWidth="1"/>
    <col min="10" max="10" width="11.625" style="1" bestFit="1" customWidth="1"/>
    <col min="11" max="11" width="7.25" style="1" bestFit="1" customWidth="1"/>
    <col min="12" max="13" width="7.25" style="1" customWidth="1"/>
    <col min="14" max="15" width="9" style="1" bestFit="1" customWidth="1"/>
    <col min="16" max="27" width="9.875" style="1" customWidth="1"/>
    <col min="28" max="16384" width="9" style="1"/>
  </cols>
  <sheetData>
    <row r="1" spans="2:28" ht="17.25" thickBot="1" x14ac:dyDescent="0.35"/>
    <row r="2" spans="2:28" ht="121.5" customHeight="1" thickBot="1" x14ac:dyDescent="0.35">
      <c r="B2" s="8" t="s">
        <v>48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</row>
    <row r="6" spans="2:28" x14ac:dyDescent="0.3">
      <c r="B6" s="7" t="s">
        <v>45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 t="s">
        <v>46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6"/>
    </row>
    <row r="7" spans="2:28" x14ac:dyDescent="0.3">
      <c r="B7" s="3" t="s">
        <v>44</v>
      </c>
      <c r="C7" s="3" t="s">
        <v>1</v>
      </c>
      <c r="D7" s="3" t="s">
        <v>0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 t="s">
        <v>15</v>
      </c>
      <c r="K7" s="3" t="s">
        <v>16</v>
      </c>
      <c r="L7" s="3" t="s">
        <v>5</v>
      </c>
      <c r="M7" s="3" t="s">
        <v>6</v>
      </c>
      <c r="N7" s="3" t="s">
        <v>17</v>
      </c>
      <c r="O7" s="3" t="s">
        <v>18</v>
      </c>
      <c r="P7" s="3" t="s">
        <v>19</v>
      </c>
      <c r="Q7" s="3" t="s">
        <v>20</v>
      </c>
      <c r="R7" s="3" t="s">
        <v>21</v>
      </c>
      <c r="S7" s="3" t="s">
        <v>22</v>
      </c>
      <c r="T7" s="3" t="s">
        <v>23</v>
      </c>
      <c r="U7" s="3" t="s">
        <v>24</v>
      </c>
      <c r="V7" s="3" t="s">
        <v>25</v>
      </c>
      <c r="W7" s="3" t="s">
        <v>26</v>
      </c>
      <c r="X7" s="3" t="s">
        <v>27</v>
      </c>
      <c r="Y7" s="3" t="s">
        <v>28</v>
      </c>
      <c r="Z7" s="3" t="s">
        <v>29</v>
      </c>
      <c r="AA7" s="3" t="s">
        <v>30</v>
      </c>
      <c r="AB7" s="3" t="s">
        <v>31</v>
      </c>
    </row>
    <row r="8" spans="2:28" x14ac:dyDescent="0.3">
      <c r="B8" s="2" t="s">
        <v>47</v>
      </c>
      <c r="C8" s="2" t="s">
        <v>8</v>
      </c>
      <c r="D8" s="2" t="s">
        <v>2</v>
      </c>
      <c r="E8" s="2" t="s">
        <v>32</v>
      </c>
      <c r="F8" s="2" t="s">
        <v>41</v>
      </c>
      <c r="G8" s="2">
        <v>6.3</v>
      </c>
      <c r="H8" s="2">
        <v>47</v>
      </c>
      <c r="I8" s="2">
        <v>1005</v>
      </c>
      <c r="J8" s="2">
        <v>1.8</v>
      </c>
      <c r="K8" s="2" t="s">
        <v>43</v>
      </c>
      <c r="L8" s="2">
        <v>4.4000000000000004</v>
      </c>
      <c r="M8" s="2">
        <v>3.3</v>
      </c>
      <c r="N8" s="2">
        <v>6.5</v>
      </c>
      <c r="O8" s="2">
        <v>234</v>
      </c>
      <c r="P8" s="2">
        <v>1000</v>
      </c>
      <c r="Q8" s="2">
        <f t="shared" ref="Q8:AB8" si="0">P8/2</f>
        <v>500</v>
      </c>
      <c r="R8" s="2">
        <f t="shared" si="0"/>
        <v>250</v>
      </c>
      <c r="S8" s="2">
        <f t="shared" si="0"/>
        <v>125</v>
      </c>
      <c r="T8" s="2">
        <f t="shared" si="0"/>
        <v>62.5</v>
      </c>
      <c r="U8" s="2">
        <f t="shared" si="0"/>
        <v>31.25</v>
      </c>
      <c r="V8" s="2">
        <f t="shared" si="0"/>
        <v>15.625</v>
      </c>
      <c r="W8" s="2">
        <f t="shared" si="0"/>
        <v>7.8125</v>
      </c>
      <c r="X8" s="2">
        <f t="shared" si="0"/>
        <v>3.90625</v>
      </c>
      <c r="Y8" s="2">
        <f t="shared" si="0"/>
        <v>1.953125</v>
      </c>
      <c r="Z8" s="2">
        <f t="shared" si="0"/>
        <v>0.9765625</v>
      </c>
      <c r="AA8" s="2">
        <f t="shared" si="0"/>
        <v>0.48828125</v>
      </c>
      <c r="AB8" s="2">
        <f t="shared" si="0"/>
        <v>0.244140625</v>
      </c>
    </row>
    <row r="9" spans="2:28" x14ac:dyDescent="0.3">
      <c r="B9" s="2" t="s">
        <v>47</v>
      </c>
      <c r="C9" s="2" t="s">
        <v>7</v>
      </c>
      <c r="D9" s="2" t="s">
        <v>2</v>
      </c>
      <c r="E9" s="2" t="s">
        <v>33</v>
      </c>
      <c r="F9" s="2" t="s">
        <v>41</v>
      </c>
      <c r="G9" s="2">
        <v>4</v>
      </c>
      <c r="H9" s="2">
        <v>4.7</v>
      </c>
      <c r="I9" s="2">
        <v>1608</v>
      </c>
      <c r="J9" s="2">
        <v>2</v>
      </c>
      <c r="K9" s="2" t="s">
        <v>43</v>
      </c>
      <c r="L9" s="2">
        <v>2.2000000000000002</v>
      </c>
      <c r="M9" s="2">
        <v>4.3</v>
      </c>
      <c r="N9" s="2">
        <v>45.2</v>
      </c>
      <c r="O9" s="2">
        <v>5634</v>
      </c>
      <c r="P9" s="2">
        <v>2030</v>
      </c>
      <c r="Q9" s="2">
        <f t="shared" ref="Q9:S16" si="1">P9/2</f>
        <v>1015</v>
      </c>
      <c r="R9" s="2">
        <f t="shared" si="1"/>
        <v>507.5</v>
      </c>
      <c r="S9" s="2">
        <f t="shared" si="1"/>
        <v>253.75</v>
      </c>
      <c r="T9" s="2">
        <f t="shared" ref="T9:AB9" si="2">S9/2</f>
        <v>126.875</v>
      </c>
      <c r="U9" s="2">
        <f t="shared" si="2"/>
        <v>63.4375</v>
      </c>
      <c r="V9" s="2">
        <f t="shared" si="2"/>
        <v>31.71875</v>
      </c>
      <c r="W9" s="2">
        <f t="shared" si="2"/>
        <v>15.859375</v>
      </c>
      <c r="X9" s="2">
        <f t="shared" si="2"/>
        <v>7.9296875</v>
      </c>
      <c r="Y9" s="2">
        <f t="shared" si="2"/>
        <v>3.96484375</v>
      </c>
      <c r="Z9" s="2">
        <f t="shared" si="2"/>
        <v>1.982421875</v>
      </c>
      <c r="AA9" s="2">
        <f t="shared" si="2"/>
        <v>0.9912109375</v>
      </c>
      <c r="AB9" s="2">
        <f t="shared" si="2"/>
        <v>0.49560546875</v>
      </c>
    </row>
    <row r="10" spans="2:28" x14ac:dyDescent="0.3">
      <c r="B10" s="2" t="s">
        <v>47</v>
      </c>
      <c r="C10" s="2" t="s">
        <v>9</v>
      </c>
      <c r="D10" s="2" t="s">
        <v>2</v>
      </c>
      <c r="E10" s="2" t="s">
        <v>34</v>
      </c>
      <c r="F10" s="2" t="s">
        <v>42</v>
      </c>
      <c r="G10" s="2">
        <v>10</v>
      </c>
      <c r="H10" s="2">
        <v>10</v>
      </c>
      <c r="I10" s="2">
        <v>1608</v>
      </c>
      <c r="J10" s="2">
        <v>5</v>
      </c>
      <c r="K10" s="2" t="s">
        <v>43</v>
      </c>
      <c r="L10" s="2">
        <v>3.2</v>
      </c>
      <c r="M10" s="2">
        <v>3.1</v>
      </c>
      <c r="N10" s="2">
        <v>2.2999999999999998</v>
      </c>
      <c r="O10" s="2">
        <v>33</v>
      </c>
      <c r="P10" s="2">
        <v>50202</v>
      </c>
      <c r="Q10" s="2">
        <f t="shared" si="1"/>
        <v>25101</v>
      </c>
      <c r="R10" s="2">
        <f t="shared" si="1"/>
        <v>12550.5</v>
      </c>
      <c r="S10" s="2">
        <f t="shared" si="1"/>
        <v>6275.25</v>
      </c>
      <c r="T10" s="2">
        <f t="shared" ref="T10:AB10" si="3">S10/2</f>
        <v>3137.625</v>
      </c>
      <c r="U10" s="2">
        <f t="shared" si="3"/>
        <v>1568.8125</v>
      </c>
      <c r="V10" s="2">
        <f t="shared" si="3"/>
        <v>784.40625</v>
      </c>
      <c r="W10" s="2">
        <f t="shared" si="3"/>
        <v>392.203125</v>
      </c>
      <c r="X10" s="2">
        <f t="shared" si="3"/>
        <v>196.1015625</v>
      </c>
      <c r="Y10" s="2">
        <f t="shared" si="3"/>
        <v>98.05078125</v>
      </c>
      <c r="Z10" s="2">
        <f t="shared" si="3"/>
        <v>49.025390625</v>
      </c>
      <c r="AA10" s="2">
        <f t="shared" si="3"/>
        <v>24.5126953125</v>
      </c>
      <c r="AB10" s="2">
        <f t="shared" si="3"/>
        <v>12.25634765625</v>
      </c>
    </row>
    <row r="11" spans="2:28" x14ac:dyDescent="0.3">
      <c r="B11" s="2" t="s">
        <v>47</v>
      </c>
      <c r="C11" s="2" t="s">
        <v>8</v>
      </c>
      <c r="D11" s="2" t="s">
        <v>4</v>
      </c>
      <c r="E11" s="2" t="s">
        <v>35</v>
      </c>
      <c r="F11" s="2" t="s">
        <v>41</v>
      </c>
      <c r="G11" s="2">
        <v>6.3</v>
      </c>
      <c r="H11" s="2">
        <v>47</v>
      </c>
      <c r="I11" s="2">
        <v>1005</v>
      </c>
      <c r="J11" s="2">
        <v>1.8</v>
      </c>
      <c r="K11" s="2" t="s">
        <v>43</v>
      </c>
      <c r="L11" s="2">
        <v>4.3</v>
      </c>
      <c r="M11" s="2">
        <v>2.2999999999999998</v>
      </c>
      <c r="N11" s="2">
        <v>4.5</v>
      </c>
      <c r="O11" s="2">
        <v>215</v>
      </c>
      <c r="P11" s="2">
        <v>4005</v>
      </c>
      <c r="Q11" s="2">
        <f t="shared" si="1"/>
        <v>2002.5</v>
      </c>
      <c r="R11" s="2">
        <f t="shared" si="1"/>
        <v>1001.25</v>
      </c>
      <c r="S11" s="2">
        <f t="shared" si="1"/>
        <v>500.625</v>
      </c>
      <c r="T11" s="2">
        <f t="shared" ref="T11:AB11" si="4">S11/2</f>
        <v>250.3125</v>
      </c>
      <c r="U11" s="2">
        <f t="shared" si="4"/>
        <v>125.15625</v>
      </c>
      <c r="V11" s="2">
        <f t="shared" si="4"/>
        <v>62.578125</v>
      </c>
      <c r="W11" s="2">
        <f t="shared" si="4"/>
        <v>31.2890625</v>
      </c>
      <c r="X11" s="2">
        <f t="shared" si="4"/>
        <v>15.64453125</v>
      </c>
      <c r="Y11" s="2">
        <f t="shared" si="4"/>
        <v>7.822265625</v>
      </c>
      <c r="Z11" s="2">
        <f t="shared" si="4"/>
        <v>3.9111328125</v>
      </c>
      <c r="AA11" s="2">
        <f t="shared" si="4"/>
        <v>1.95556640625</v>
      </c>
      <c r="AB11" s="2">
        <f t="shared" si="4"/>
        <v>0.977783203125</v>
      </c>
    </row>
    <row r="12" spans="2:28" x14ac:dyDescent="0.3">
      <c r="B12" s="2" t="s">
        <v>47</v>
      </c>
      <c r="C12" s="2" t="s">
        <v>7</v>
      </c>
      <c r="D12" s="2" t="s">
        <v>4</v>
      </c>
      <c r="E12" s="2" t="s">
        <v>36</v>
      </c>
      <c r="F12" s="2" t="s">
        <v>41</v>
      </c>
      <c r="G12" s="2">
        <v>4</v>
      </c>
      <c r="H12" s="2">
        <v>4.7</v>
      </c>
      <c r="I12" s="2">
        <v>1608</v>
      </c>
      <c r="J12" s="2">
        <v>2</v>
      </c>
      <c r="K12" s="2" t="s">
        <v>43</v>
      </c>
      <c r="L12" s="2">
        <v>2.2999999999999998</v>
      </c>
      <c r="M12" s="2">
        <v>5.4</v>
      </c>
      <c r="N12" s="2">
        <v>8.6</v>
      </c>
      <c r="O12" s="2">
        <v>3434</v>
      </c>
      <c r="P12" s="2">
        <v>502</v>
      </c>
      <c r="Q12" s="2">
        <f t="shared" si="1"/>
        <v>251</v>
      </c>
      <c r="R12" s="2">
        <f t="shared" si="1"/>
        <v>125.5</v>
      </c>
      <c r="S12" s="2">
        <f t="shared" si="1"/>
        <v>62.75</v>
      </c>
      <c r="T12" s="2">
        <f t="shared" ref="T12:AB12" si="5">S12/2</f>
        <v>31.375</v>
      </c>
      <c r="U12" s="2">
        <f t="shared" si="5"/>
        <v>15.6875</v>
      </c>
      <c r="V12" s="2">
        <f t="shared" si="5"/>
        <v>7.84375</v>
      </c>
      <c r="W12" s="2">
        <f t="shared" si="5"/>
        <v>3.921875</v>
      </c>
      <c r="X12" s="2">
        <f t="shared" si="5"/>
        <v>1.9609375</v>
      </c>
      <c r="Y12" s="2">
        <f t="shared" si="5"/>
        <v>0.98046875</v>
      </c>
      <c r="Z12" s="2">
        <f t="shared" si="5"/>
        <v>0.490234375</v>
      </c>
      <c r="AA12" s="2">
        <f t="shared" si="5"/>
        <v>0.2451171875</v>
      </c>
      <c r="AB12" s="2">
        <f t="shared" si="5"/>
        <v>0.12255859375</v>
      </c>
    </row>
    <row r="13" spans="2:28" x14ac:dyDescent="0.3">
      <c r="B13" s="2" t="s">
        <v>47</v>
      </c>
      <c r="C13" s="2" t="s">
        <v>9</v>
      </c>
      <c r="D13" s="2" t="s">
        <v>4</v>
      </c>
      <c r="E13" s="2" t="s">
        <v>37</v>
      </c>
      <c r="F13" s="2" t="s">
        <v>42</v>
      </c>
      <c r="G13" s="2">
        <v>10</v>
      </c>
      <c r="H13" s="2">
        <v>10</v>
      </c>
      <c r="I13" s="2">
        <v>1608</v>
      </c>
      <c r="J13" s="2">
        <v>5</v>
      </c>
      <c r="K13" s="2" t="s">
        <v>43</v>
      </c>
      <c r="L13" s="2">
        <v>2.5</v>
      </c>
      <c r="M13" s="2">
        <v>3.4</v>
      </c>
      <c r="N13" s="2">
        <v>44.6</v>
      </c>
      <c r="O13" s="2">
        <v>4</v>
      </c>
      <c r="P13" s="2">
        <v>60</v>
      </c>
      <c r="Q13" s="2">
        <f t="shared" si="1"/>
        <v>30</v>
      </c>
      <c r="R13" s="2">
        <f t="shared" si="1"/>
        <v>15</v>
      </c>
      <c r="S13" s="2">
        <f t="shared" si="1"/>
        <v>7.5</v>
      </c>
      <c r="T13" s="2">
        <f t="shared" ref="T13:AB13" si="6">S13/2</f>
        <v>3.75</v>
      </c>
      <c r="U13" s="2">
        <f t="shared" si="6"/>
        <v>1.875</v>
      </c>
      <c r="V13" s="2">
        <f t="shared" si="6"/>
        <v>0.9375</v>
      </c>
      <c r="W13" s="2">
        <f t="shared" si="6"/>
        <v>0.46875</v>
      </c>
      <c r="X13" s="2">
        <f t="shared" si="6"/>
        <v>0.234375</v>
      </c>
      <c r="Y13" s="2">
        <f t="shared" si="6"/>
        <v>0.1171875</v>
      </c>
      <c r="Z13" s="2">
        <f t="shared" si="6"/>
        <v>5.859375E-2</v>
      </c>
      <c r="AA13" s="2">
        <f t="shared" si="6"/>
        <v>2.9296875E-2</v>
      </c>
      <c r="AB13" s="2">
        <f t="shared" si="6"/>
        <v>1.46484375E-2</v>
      </c>
    </row>
    <row r="14" spans="2:28" x14ac:dyDescent="0.3">
      <c r="B14" s="2" t="s">
        <v>47</v>
      </c>
      <c r="C14" s="2" t="s">
        <v>8</v>
      </c>
      <c r="D14" s="2" t="s">
        <v>3</v>
      </c>
      <c r="E14" s="2" t="s">
        <v>38</v>
      </c>
      <c r="F14" s="2" t="s">
        <v>41</v>
      </c>
      <c r="G14" s="2">
        <v>6.3</v>
      </c>
      <c r="H14" s="2">
        <v>47</v>
      </c>
      <c r="I14" s="2">
        <v>1005</v>
      </c>
      <c r="J14" s="2">
        <v>1.8</v>
      </c>
      <c r="K14" s="2" t="s">
        <v>43</v>
      </c>
      <c r="L14" s="2">
        <v>6.4</v>
      </c>
      <c r="M14" s="2">
        <v>6.4</v>
      </c>
      <c r="N14" s="2">
        <v>77.599999999999994</v>
      </c>
      <c r="O14" s="2">
        <v>3435</v>
      </c>
      <c r="P14" s="2">
        <v>102</v>
      </c>
      <c r="Q14" s="2">
        <f t="shared" si="1"/>
        <v>51</v>
      </c>
      <c r="R14" s="2">
        <f t="shared" si="1"/>
        <v>25.5</v>
      </c>
      <c r="S14" s="2">
        <f t="shared" si="1"/>
        <v>12.75</v>
      </c>
      <c r="T14" s="2">
        <f t="shared" ref="T14:AB14" si="7">S14/2</f>
        <v>6.375</v>
      </c>
      <c r="U14" s="2">
        <f t="shared" si="7"/>
        <v>3.1875</v>
      </c>
      <c r="V14" s="2">
        <f t="shared" si="7"/>
        <v>1.59375</v>
      </c>
      <c r="W14" s="2">
        <f t="shared" si="7"/>
        <v>0.796875</v>
      </c>
      <c r="X14" s="2">
        <f t="shared" si="7"/>
        <v>0.3984375</v>
      </c>
      <c r="Y14" s="2">
        <f t="shared" si="7"/>
        <v>0.19921875</v>
      </c>
      <c r="Z14" s="2">
        <f t="shared" si="7"/>
        <v>9.9609375E-2</v>
      </c>
      <c r="AA14" s="2">
        <f t="shared" si="7"/>
        <v>4.98046875E-2</v>
      </c>
      <c r="AB14" s="2">
        <f t="shared" si="7"/>
        <v>2.490234375E-2</v>
      </c>
    </row>
    <row r="15" spans="2:28" x14ac:dyDescent="0.3">
      <c r="B15" s="2" t="s">
        <v>47</v>
      </c>
      <c r="C15" s="2" t="s">
        <v>7</v>
      </c>
      <c r="D15" s="2" t="s">
        <v>3</v>
      </c>
      <c r="E15" s="2" t="s">
        <v>39</v>
      </c>
      <c r="F15" s="2" t="s">
        <v>41</v>
      </c>
      <c r="G15" s="2">
        <v>4</v>
      </c>
      <c r="H15" s="2">
        <v>4.7</v>
      </c>
      <c r="I15" s="2">
        <v>1608</v>
      </c>
      <c r="J15" s="2">
        <v>2</v>
      </c>
      <c r="K15" s="2" t="s">
        <v>43</v>
      </c>
      <c r="L15" s="2">
        <v>3.2</v>
      </c>
      <c r="M15" s="2">
        <v>3.2</v>
      </c>
      <c r="N15" s="2">
        <v>2.4</v>
      </c>
      <c r="O15" s="2">
        <v>243</v>
      </c>
      <c r="P15" s="2">
        <v>235</v>
      </c>
      <c r="Q15" s="2">
        <f t="shared" si="1"/>
        <v>117.5</v>
      </c>
      <c r="R15" s="2">
        <f t="shared" si="1"/>
        <v>58.75</v>
      </c>
      <c r="S15" s="2">
        <f t="shared" si="1"/>
        <v>29.375</v>
      </c>
      <c r="T15" s="2">
        <f t="shared" ref="T15:AB15" si="8">S15/2</f>
        <v>14.6875</v>
      </c>
      <c r="U15" s="2">
        <f t="shared" si="8"/>
        <v>7.34375</v>
      </c>
      <c r="V15" s="2">
        <f t="shared" si="8"/>
        <v>3.671875</v>
      </c>
      <c r="W15" s="2">
        <f t="shared" si="8"/>
        <v>1.8359375</v>
      </c>
      <c r="X15" s="2">
        <f t="shared" si="8"/>
        <v>0.91796875</v>
      </c>
      <c r="Y15" s="2">
        <f t="shared" si="8"/>
        <v>0.458984375</v>
      </c>
      <c r="Z15" s="2">
        <f t="shared" si="8"/>
        <v>0.2294921875</v>
      </c>
      <c r="AA15" s="2">
        <f t="shared" si="8"/>
        <v>0.11474609375</v>
      </c>
      <c r="AB15" s="2">
        <f t="shared" si="8"/>
        <v>5.7373046875E-2</v>
      </c>
    </row>
    <row r="16" spans="2:28" x14ac:dyDescent="0.3">
      <c r="B16" s="2" t="s">
        <v>47</v>
      </c>
      <c r="C16" s="2" t="s">
        <v>9</v>
      </c>
      <c r="D16" s="2" t="s">
        <v>3</v>
      </c>
      <c r="E16" s="2" t="s">
        <v>40</v>
      </c>
      <c r="F16" s="2" t="s">
        <v>42</v>
      </c>
      <c r="G16" s="2">
        <v>10</v>
      </c>
      <c r="H16" s="2">
        <v>10</v>
      </c>
      <c r="I16" s="2">
        <v>1608</v>
      </c>
      <c r="J16" s="2">
        <v>5</v>
      </c>
      <c r="K16" s="2" t="s">
        <v>43</v>
      </c>
      <c r="L16" s="2">
        <v>4.3</v>
      </c>
      <c r="M16" s="2">
        <v>1.2</v>
      </c>
      <c r="N16" s="2">
        <v>32.1</v>
      </c>
      <c r="O16" s="2">
        <v>34</v>
      </c>
      <c r="P16" s="2">
        <v>532</v>
      </c>
      <c r="Q16" s="2">
        <f t="shared" si="1"/>
        <v>266</v>
      </c>
      <c r="R16" s="2">
        <f t="shared" si="1"/>
        <v>133</v>
      </c>
      <c r="S16" s="2">
        <f t="shared" si="1"/>
        <v>66.5</v>
      </c>
      <c r="T16" s="2">
        <f t="shared" ref="T16:AB16" si="9">S16/2</f>
        <v>33.25</v>
      </c>
      <c r="U16" s="2">
        <f t="shared" si="9"/>
        <v>16.625</v>
      </c>
      <c r="V16" s="2">
        <f t="shared" si="9"/>
        <v>8.3125</v>
      </c>
      <c r="W16" s="2">
        <f t="shared" si="9"/>
        <v>4.15625</v>
      </c>
      <c r="X16" s="2">
        <f t="shared" si="9"/>
        <v>2.078125</v>
      </c>
      <c r="Y16" s="2">
        <f t="shared" si="9"/>
        <v>1.0390625</v>
      </c>
      <c r="Z16" s="2">
        <f t="shared" si="9"/>
        <v>0.51953125</v>
      </c>
      <c r="AA16" s="2">
        <f t="shared" si="9"/>
        <v>0.259765625</v>
      </c>
      <c r="AB16" s="2">
        <f t="shared" si="9"/>
        <v>0.1298828125</v>
      </c>
    </row>
  </sheetData>
  <mergeCells count="3">
    <mergeCell ref="P6:AB6"/>
    <mergeCell ref="B6:O6"/>
    <mergeCell ref="B2:O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2026-09-29T02:02:05Z</dcterms:created>
  <dcterms:modified xsi:type="dcterms:W3CDTF">2026-09-29T06:26:02Z</dcterms:modified>
</cp:coreProperties>
</file>